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khi\Downloads\automation-and-tools-for-HR\annual_health_checkup_automation\"/>
    </mc:Choice>
  </mc:AlternateContent>
  <xr:revisionPtr revIDLastSave="0" documentId="13_ncr:1_{5D807F05-00D8-4E5D-8DF2-78DAACDD0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" i="1" l="1"/>
  <c r="AF8" i="1"/>
  <c r="P8" i="1"/>
  <c r="O8" i="1"/>
  <c r="AK7" i="1"/>
  <c r="P7" i="1"/>
  <c r="AF7" i="1" s="1"/>
  <c r="O7" i="1"/>
  <c r="AK6" i="1"/>
  <c r="P6" i="1"/>
  <c r="AF6" i="1" s="1"/>
  <c r="O6" i="1"/>
  <c r="AK5" i="1"/>
  <c r="P5" i="1"/>
  <c r="AF5" i="1" s="1"/>
  <c r="O5" i="1"/>
  <c r="AK4" i="1"/>
  <c r="P4" i="1"/>
  <c r="AF4" i="1" s="1"/>
  <c r="O4" i="1"/>
  <c r="AK3" i="1"/>
  <c r="P3" i="1"/>
  <c r="AF3" i="1" s="1"/>
  <c r="O3" i="1"/>
  <c r="AK2" i="1"/>
  <c r="P2" i="1"/>
  <c r="AF2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1" authorId="0" shapeId="0" xr:uid="{50B75238-4224-4A54-BEC5-66A0F08B75F7}">
      <text>
        <r>
          <rPr>
            <sz val="10"/>
            <rFont val="Arial"/>
            <family val="2"/>
          </rPr>
          <t>Dummy-data assumption: recovery amount = shortfall days x Rs.1500/day (placeholder average daily wage). Replace with actual salary-based rate for real data.</t>
        </r>
      </text>
    </comment>
  </commentList>
</comments>
</file>

<file path=xl/sharedStrings.xml><?xml version="1.0" encoding="utf-8"?>
<sst xmlns="http://schemas.openxmlformats.org/spreadsheetml/2006/main" count="230" uniqueCount="113">
  <si>
    <t>Employee ID</t>
  </si>
  <si>
    <t>Employee Name</t>
  </si>
  <si>
    <t>Department</t>
  </si>
  <si>
    <t>Designation / Cadre</t>
  </si>
  <si>
    <t>Reporting Manager / HOD</t>
  </si>
  <si>
    <t>Date of Joining (DOJ)</t>
  </si>
  <si>
    <t>Employment Type</t>
  </si>
  <si>
    <t>Date of Resignation</t>
  </si>
  <si>
    <t>Last Working Day (LWD)</t>
  </si>
  <si>
    <t>Notice Period Required (Days)</t>
  </si>
  <si>
    <t>Type of Exit</t>
  </si>
  <si>
    <t>Reason for Leaving</t>
  </si>
  <si>
    <t>Detailed Reason / Feedback (Exit Interview)</t>
  </si>
  <si>
    <t>HR Remarks</t>
  </si>
  <si>
    <t>Notice Period Served (Days)</t>
  </si>
  <si>
    <t>Notice Period Shortfall (Days)</t>
  </si>
  <si>
    <t>Resignation Accepted By</t>
  </si>
  <si>
    <t>Clearance - Nursing</t>
  </si>
  <si>
    <t>Clearance - Medical</t>
  </si>
  <si>
    <t>Clearance - IT</t>
  </si>
  <si>
    <t>Clearance - Finance</t>
  </si>
  <si>
    <t>Clearance - HR</t>
  </si>
  <si>
    <t>ID Card / Uniform Returned</t>
  </si>
  <si>
    <t>IT Access Revoked (HIS, Email, Biometric)</t>
  </si>
  <si>
    <t>Locker / Quarter / Accommodation Vacated</t>
  </si>
  <si>
    <t>Exit Interview Conducted By &amp; Date</t>
  </si>
  <si>
    <t>Rehire Eligibility</t>
  </si>
  <si>
    <t>Remarks</t>
  </si>
  <si>
    <t>Replacement Found</t>
  </si>
  <si>
    <t>Critical Role / Replacement Required</t>
  </si>
  <si>
    <t>Full &amp; Final Settlement Status</t>
  </si>
  <si>
    <t>Notice Period Recovery Amount</t>
  </si>
  <si>
    <t>Leave Encashment (Days / Amount)</t>
  </si>
  <si>
    <t>Bond / Training Cost Recovery</t>
  </si>
  <si>
    <t>PF / Gratuity Status</t>
  </si>
  <si>
    <t>Relieving Letter / Experience Letter Issued Date</t>
  </si>
  <si>
    <t>Tenure in Organization (Years)</t>
  </si>
  <si>
    <t>HOSP1001</t>
  </si>
  <si>
    <t>Nitin Menon</t>
  </si>
  <si>
    <t>Radiology</t>
  </si>
  <si>
    <t>Radiographer</t>
  </si>
  <si>
    <t>Dr. S. Ramanathan</t>
  </si>
  <si>
    <t>Contract</t>
  </si>
  <si>
    <t>Voluntary Resignation</t>
  </si>
  <si>
    <t>Better Opportunity</t>
  </si>
  <si>
    <t>Raised concerns about shift schedules.</t>
  </si>
  <si>
    <t>Smooth handover completed.</t>
  </si>
  <si>
    <t>NA</t>
  </si>
  <si>
    <t>Completed</t>
  </si>
  <si>
    <t>Pending</t>
  </si>
  <si>
    <t>Yes</t>
  </si>
  <si>
    <t>No</t>
  </si>
  <si>
    <t>Dr. S. Ramanathan - 05-Jun-2025</t>
  </si>
  <si>
    <t>Exit formalities delayed.</t>
  </si>
  <si>
    <t>6 days / Rs.34800</t>
  </si>
  <si>
    <t>Processed</t>
  </si>
  <si>
    <t>HOSP1002</t>
  </si>
  <si>
    <t>Ritu Krishnan</t>
  </si>
  <si>
    <t>Pharmacy</t>
  </si>
  <si>
    <t>Pharmacist</t>
  </si>
  <si>
    <t>Ms. Ananya Das</t>
  </si>
  <si>
    <t>Probation</t>
  </si>
  <si>
    <t>Absconding</t>
  </si>
  <si>
    <t>Salary Dissatisfaction</t>
  </si>
  <si>
    <t>Satisfied with role, leaving for personal reasons.</t>
  </si>
  <si>
    <t>Dr. Fatima Sheikh - 13-Apr-2026</t>
  </si>
  <si>
    <t>Processing</t>
  </si>
  <si>
    <t>5 days / Rs.15950</t>
  </si>
  <si>
    <t>HOSP1003</t>
  </si>
  <si>
    <t>Sameer Menon</t>
  </si>
  <si>
    <t>Mr. Arvind Rao</t>
  </si>
  <si>
    <t>Career Growth</t>
  </si>
  <si>
    <t>Mr. George Mathew - 12-Dec-2023</t>
  </si>
  <si>
    <t>7 days / Rs.33350</t>
  </si>
  <si>
    <t>Not Applicable (tenure &lt; 6 months)</t>
  </si>
  <si>
    <t>HOSP1004</t>
  </si>
  <si>
    <t>Pooja Kumar</t>
  </si>
  <si>
    <t>Security</t>
  </si>
  <si>
    <t>Security Supervisor</t>
  </si>
  <si>
    <t>Part-Time</t>
  </si>
  <si>
    <t>Involuntary Termination</t>
  </si>
  <si>
    <t>Contract Completed</t>
  </si>
  <si>
    <t>Cited lack of growth opportunities.</t>
  </si>
  <si>
    <t>Flagged for rehire eligibility review.</t>
  </si>
  <si>
    <t>Mr. George Mathew</t>
  </si>
  <si>
    <t>Ms. Kavitha Nair - 18-Nov-2019</t>
  </si>
  <si>
    <t>23 days / Rs.33350</t>
  </si>
  <si>
    <t>HOSP1005</t>
  </si>
  <si>
    <t>Rohan Verma</t>
  </si>
  <si>
    <t>Radiology Technician</t>
  </si>
  <si>
    <t>Dr. Fatima Sheikh</t>
  </si>
  <si>
    <t>No issues during exit.</t>
  </si>
  <si>
    <t>Mr. George Mathew - 15-Sep-2025</t>
  </si>
  <si>
    <t>Conditional</t>
  </si>
  <si>
    <t>17 days / Rs.34800</t>
  </si>
  <si>
    <t>HOSP1006</t>
  </si>
  <si>
    <t>Bhavya Naidu</t>
  </si>
  <si>
    <t>Pharmacy Assistant</t>
  </si>
  <si>
    <t>Permanent</t>
  </si>
  <si>
    <t>Family Commitments</t>
  </si>
  <si>
    <t>Cited better compensation elsewhere.</t>
  </si>
  <si>
    <t>Mr. George Mathew - 11-Jun-2021</t>
  </si>
  <si>
    <t>No concerns raised.</t>
  </si>
  <si>
    <t>15 days / Rs.18850</t>
  </si>
  <si>
    <t>HOSP1007</t>
  </si>
  <si>
    <t>Harish Shetty</t>
  </si>
  <si>
    <t>Higher Studies</t>
  </si>
  <si>
    <t>Dr. Ravi Chandran</t>
  </si>
  <si>
    <t>Dr. S. Ramanathan - 13-Nov-2019</t>
  </si>
  <si>
    <t>15 days / Rs.21750</t>
  </si>
  <si>
    <t>Rs.10000</t>
  </si>
  <si>
    <t>Checkup Date</t>
  </si>
  <si>
    <t>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</si>
</sst>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"/>
  <sheetViews>
    <sheetView tabSelected="1" workbookViewId="0">
      <selection activeCell="M19" sqref="M19"/>
    </sheetView>
  </sheetViews>
  <sheetFormatPr defaultRowHeight="14.4" x14ac:dyDescent="0.3"/>
  <sheetData>
    <row r="1" spans="1:39" ht="9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111</v>
      </c>
      <c r="AM1" s="1" t="s">
        <v>112</v>
      </c>
    </row>
    <row r="2" spans="1:39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3">
        <v>43520</v>
      </c>
      <c r="G2" s="2" t="s">
        <v>42</v>
      </c>
      <c r="H2" s="3">
        <v>45783</v>
      </c>
      <c r="I2" s="3">
        <v>45813</v>
      </c>
      <c r="J2" s="2">
        <v>30</v>
      </c>
      <c r="K2" s="2" t="s">
        <v>43</v>
      </c>
      <c r="L2" s="2" t="s">
        <v>44</v>
      </c>
      <c r="M2" s="2" t="s">
        <v>45</v>
      </c>
      <c r="N2" s="2" t="s">
        <v>46</v>
      </c>
      <c r="O2" s="2">
        <f t="shared" ref="O2:O8" si="0">IF(AND(H2&lt;&gt;"",I2&lt;&gt;""),I2-H2,"")</f>
        <v>30</v>
      </c>
      <c r="P2" s="2">
        <f t="shared" ref="P2:P8" si="1">IF(O2&lt;&gt;"",MAX(J2-O2,0),"")</f>
        <v>0</v>
      </c>
      <c r="Q2" s="2" t="s">
        <v>41</v>
      </c>
      <c r="R2" s="2" t="s">
        <v>47</v>
      </c>
      <c r="S2" s="2" t="s">
        <v>47</v>
      </c>
      <c r="T2" s="2" t="s">
        <v>48</v>
      </c>
      <c r="U2" s="2" t="s">
        <v>47</v>
      </c>
      <c r="V2" s="2" t="s">
        <v>49</v>
      </c>
      <c r="W2" s="2" t="s">
        <v>50</v>
      </c>
      <c r="X2" s="2" t="s">
        <v>51</v>
      </c>
      <c r="Y2" s="2" t="s">
        <v>47</v>
      </c>
      <c r="Z2" s="2" t="s">
        <v>52</v>
      </c>
      <c r="AA2" s="2" t="s">
        <v>50</v>
      </c>
      <c r="AB2" s="2" t="s">
        <v>53</v>
      </c>
      <c r="AC2" s="2" t="s">
        <v>51</v>
      </c>
      <c r="AD2" s="2" t="s">
        <v>51</v>
      </c>
      <c r="AE2" s="2" t="s">
        <v>48</v>
      </c>
      <c r="AF2" s="2">
        <f t="shared" ref="AF2:AF8" si="2">IF(P2&lt;&gt;"",P2*1500,0)</f>
        <v>0</v>
      </c>
      <c r="AG2" s="2" t="s">
        <v>54</v>
      </c>
      <c r="AH2" s="2" t="s">
        <v>47</v>
      </c>
      <c r="AI2" s="2" t="s">
        <v>55</v>
      </c>
      <c r="AJ2" s="2"/>
      <c r="AK2" s="2">
        <f t="shared" ref="AK2:AK8" si="3">IF(AND(F2&lt;&gt;"",I2&lt;&gt;""),ROUND(YEARFRAC(F2,I2,1),2),"")</f>
        <v>6.28</v>
      </c>
    </row>
    <row r="3" spans="1:39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3">
        <v>44982</v>
      </c>
      <c r="G3" s="2" t="s">
        <v>61</v>
      </c>
      <c r="H3" s="3">
        <v>46110</v>
      </c>
      <c r="I3" s="3">
        <v>46125</v>
      </c>
      <c r="J3" s="2">
        <v>15</v>
      </c>
      <c r="K3" s="2" t="s">
        <v>62</v>
      </c>
      <c r="L3" s="2" t="s">
        <v>63</v>
      </c>
      <c r="M3" s="2" t="s">
        <v>64</v>
      </c>
      <c r="N3" s="2"/>
      <c r="O3" s="2">
        <f t="shared" si="0"/>
        <v>15</v>
      </c>
      <c r="P3" s="2">
        <f t="shared" si="1"/>
        <v>0</v>
      </c>
      <c r="Q3" s="2" t="s">
        <v>60</v>
      </c>
      <c r="R3" s="2" t="s">
        <v>47</v>
      </c>
      <c r="S3" s="2" t="s">
        <v>47</v>
      </c>
      <c r="T3" s="2" t="s">
        <v>48</v>
      </c>
      <c r="U3" s="2" t="s">
        <v>48</v>
      </c>
      <c r="V3" s="2" t="s">
        <v>48</v>
      </c>
      <c r="W3" s="2" t="s">
        <v>50</v>
      </c>
      <c r="X3" s="2" t="s">
        <v>49</v>
      </c>
      <c r="Y3" s="2" t="s">
        <v>50</v>
      </c>
      <c r="Z3" s="2" t="s">
        <v>65</v>
      </c>
      <c r="AA3" s="2" t="s">
        <v>51</v>
      </c>
      <c r="AB3" s="2" t="s">
        <v>53</v>
      </c>
      <c r="AC3" s="2" t="s">
        <v>51</v>
      </c>
      <c r="AD3" s="2" t="s">
        <v>51</v>
      </c>
      <c r="AE3" s="2" t="s">
        <v>66</v>
      </c>
      <c r="AF3" s="2">
        <f t="shared" si="2"/>
        <v>0</v>
      </c>
      <c r="AG3" s="2" t="s">
        <v>67</v>
      </c>
      <c r="AH3" s="2" t="s">
        <v>47</v>
      </c>
      <c r="AI3" s="2" t="s">
        <v>49</v>
      </c>
      <c r="AJ3" s="2"/>
      <c r="AK3" s="2">
        <f t="shared" si="3"/>
        <v>3.13</v>
      </c>
    </row>
    <row r="4" spans="1:39" x14ac:dyDescent="0.3">
      <c r="A4" s="2" t="s">
        <v>68</v>
      </c>
      <c r="B4" s="2" t="s">
        <v>69</v>
      </c>
      <c r="C4" s="2" t="s">
        <v>39</v>
      </c>
      <c r="D4" s="2" t="s">
        <v>40</v>
      </c>
      <c r="E4" s="2" t="s">
        <v>70</v>
      </c>
      <c r="F4" s="3">
        <v>44655</v>
      </c>
      <c r="G4" s="2" t="s">
        <v>42</v>
      </c>
      <c r="H4" s="3">
        <v>45237</v>
      </c>
      <c r="I4" s="3">
        <v>45272</v>
      </c>
      <c r="J4" s="2">
        <v>30</v>
      </c>
      <c r="K4" s="2" t="s">
        <v>43</v>
      </c>
      <c r="L4" s="2" t="s">
        <v>71</v>
      </c>
      <c r="M4" s="2" t="s">
        <v>45</v>
      </c>
      <c r="N4" s="2"/>
      <c r="O4" s="2">
        <f t="shared" si="0"/>
        <v>35</v>
      </c>
      <c r="P4" s="2">
        <f t="shared" si="1"/>
        <v>0</v>
      </c>
      <c r="Q4" s="2" t="s">
        <v>41</v>
      </c>
      <c r="R4" s="2" t="s">
        <v>47</v>
      </c>
      <c r="S4" s="2" t="s">
        <v>48</v>
      </c>
      <c r="T4" s="2" t="s">
        <v>49</v>
      </c>
      <c r="U4" s="2" t="s">
        <v>48</v>
      </c>
      <c r="V4" s="2" t="s">
        <v>48</v>
      </c>
      <c r="W4" s="2" t="s">
        <v>50</v>
      </c>
      <c r="X4" s="2" t="s">
        <v>49</v>
      </c>
      <c r="Y4" s="2" t="s">
        <v>51</v>
      </c>
      <c r="Z4" s="2" t="s">
        <v>72</v>
      </c>
      <c r="AA4" s="2" t="s">
        <v>50</v>
      </c>
      <c r="AB4" s="2" t="s">
        <v>53</v>
      </c>
      <c r="AC4" s="2" t="s">
        <v>50</v>
      </c>
      <c r="AD4" s="2" t="s">
        <v>51</v>
      </c>
      <c r="AE4" s="2" t="s">
        <v>48</v>
      </c>
      <c r="AF4" s="2">
        <f t="shared" si="2"/>
        <v>0</v>
      </c>
      <c r="AG4" s="2" t="s">
        <v>73</v>
      </c>
      <c r="AH4" s="2" t="s">
        <v>47</v>
      </c>
      <c r="AI4" s="2" t="s">
        <v>74</v>
      </c>
      <c r="AJ4" s="3">
        <v>45275</v>
      </c>
      <c r="AK4" s="2">
        <f t="shared" si="3"/>
        <v>1.69</v>
      </c>
    </row>
    <row r="5" spans="1:39" x14ac:dyDescent="0.3">
      <c r="A5" s="2" t="s">
        <v>75</v>
      </c>
      <c r="B5" s="2" t="s">
        <v>76</v>
      </c>
      <c r="C5" s="2" t="s">
        <v>77</v>
      </c>
      <c r="D5" s="2" t="s">
        <v>78</v>
      </c>
      <c r="E5" s="2" t="s">
        <v>60</v>
      </c>
      <c r="F5" s="3">
        <v>43293</v>
      </c>
      <c r="G5" s="2" t="s">
        <v>79</v>
      </c>
      <c r="H5" s="3">
        <v>43772</v>
      </c>
      <c r="I5" s="3">
        <v>43787</v>
      </c>
      <c r="J5" s="2">
        <v>15</v>
      </c>
      <c r="K5" s="2" t="s">
        <v>80</v>
      </c>
      <c r="L5" s="2" t="s">
        <v>81</v>
      </c>
      <c r="M5" s="2" t="s">
        <v>82</v>
      </c>
      <c r="N5" s="2" t="s">
        <v>83</v>
      </c>
      <c r="O5" s="2">
        <f t="shared" si="0"/>
        <v>15</v>
      </c>
      <c r="P5" s="2">
        <f t="shared" si="1"/>
        <v>0</v>
      </c>
      <c r="Q5" s="2" t="s">
        <v>84</v>
      </c>
      <c r="R5" s="2" t="s">
        <v>47</v>
      </c>
      <c r="S5" s="2" t="s">
        <v>47</v>
      </c>
      <c r="T5" s="2" t="s">
        <v>48</v>
      </c>
      <c r="U5" s="2" t="s">
        <v>47</v>
      </c>
      <c r="V5" s="2" t="s">
        <v>48</v>
      </c>
      <c r="W5" s="2" t="s">
        <v>50</v>
      </c>
      <c r="X5" s="2" t="s">
        <v>49</v>
      </c>
      <c r="Y5" s="2" t="s">
        <v>47</v>
      </c>
      <c r="Z5" s="2" t="s">
        <v>85</v>
      </c>
      <c r="AA5" s="2" t="s">
        <v>51</v>
      </c>
      <c r="AB5" s="2" t="s">
        <v>53</v>
      </c>
      <c r="AC5" s="2" t="s">
        <v>50</v>
      </c>
      <c r="AD5" s="2" t="s">
        <v>51</v>
      </c>
      <c r="AE5" s="2" t="s">
        <v>48</v>
      </c>
      <c r="AF5" s="2">
        <f t="shared" si="2"/>
        <v>0</v>
      </c>
      <c r="AG5" s="2" t="s">
        <v>86</v>
      </c>
      <c r="AH5" s="2" t="s">
        <v>47</v>
      </c>
      <c r="AI5" s="2" t="s">
        <v>55</v>
      </c>
      <c r="AJ5" s="3">
        <v>43790</v>
      </c>
      <c r="AK5" s="2">
        <f t="shared" si="3"/>
        <v>1.35</v>
      </c>
    </row>
    <row r="6" spans="1:39" x14ac:dyDescent="0.3">
      <c r="A6" s="2" t="s">
        <v>87</v>
      </c>
      <c r="B6" s="2" t="s">
        <v>88</v>
      </c>
      <c r="C6" s="2" t="s">
        <v>39</v>
      </c>
      <c r="D6" s="2" t="s">
        <v>89</v>
      </c>
      <c r="E6" s="2" t="s">
        <v>90</v>
      </c>
      <c r="F6" s="3">
        <v>45554</v>
      </c>
      <c r="G6" s="2" t="s">
        <v>42</v>
      </c>
      <c r="H6" s="3">
        <v>45915</v>
      </c>
      <c r="I6" s="3">
        <v>45915</v>
      </c>
      <c r="J6" s="2">
        <v>30</v>
      </c>
      <c r="K6" s="2" t="s">
        <v>43</v>
      </c>
      <c r="L6" s="2" t="s">
        <v>71</v>
      </c>
      <c r="M6" s="2" t="s">
        <v>45</v>
      </c>
      <c r="N6" s="2" t="s">
        <v>91</v>
      </c>
      <c r="O6" s="2">
        <f t="shared" si="0"/>
        <v>0</v>
      </c>
      <c r="P6" s="2">
        <f t="shared" si="1"/>
        <v>30</v>
      </c>
      <c r="Q6" s="2" t="s">
        <v>90</v>
      </c>
      <c r="R6" s="2" t="s">
        <v>47</v>
      </c>
      <c r="S6" s="2" t="s">
        <v>47</v>
      </c>
      <c r="T6" s="2" t="s">
        <v>48</v>
      </c>
      <c r="U6" s="2" t="s">
        <v>48</v>
      </c>
      <c r="V6" s="2" t="s">
        <v>49</v>
      </c>
      <c r="W6" s="2" t="s">
        <v>50</v>
      </c>
      <c r="X6" s="2" t="s">
        <v>50</v>
      </c>
      <c r="Y6" s="2" t="s">
        <v>51</v>
      </c>
      <c r="Z6" s="2" t="s">
        <v>92</v>
      </c>
      <c r="AA6" s="2" t="s">
        <v>93</v>
      </c>
      <c r="AB6" s="2"/>
      <c r="AC6" s="2" t="s">
        <v>51</v>
      </c>
      <c r="AD6" s="2" t="s">
        <v>51</v>
      </c>
      <c r="AE6" s="2" t="s">
        <v>48</v>
      </c>
      <c r="AF6" s="2">
        <f t="shared" si="2"/>
        <v>45000</v>
      </c>
      <c r="AG6" s="2" t="s">
        <v>94</v>
      </c>
      <c r="AH6" s="2" t="s">
        <v>47</v>
      </c>
      <c r="AI6" s="2" t="s">
        <v>49</v>
      </c>
      <c r="AJ6" s="3">
        <v>45922</v>
      </c>
      <c r="AK6" s="2">
        <f t="shared" si="3"/>
        <v>0.99</v>
      </c>
    </row>
    <row r="7" spans="1:39" x14ac:dyDescent="0.3">
      <c r="A7" s="2" t="s">
        <v>95</v>
      </c>
      <c r="B7" s="2" t="s">
        <v>96</v>
      </c>
      <c r="C7" s="2" t="s">
        <v>58</v>
      </c>
      <c r="D7" s="2" t="s">
        <v>97</v>
      </c>
      <c r="E7" s="2" t="s">
        <v>84</v>
      </c>
      <c r="F7" s="3">
        <v>44021</v>
      </c>
      <c r="G7" s="2" t="s">
        <v>98</v>
      </c>
      <c r="H7" s="3">
        <v>44313</v>
      </c>
      <c r="I7" s="3">
        <v>44358</v>
      </c>
      <c r="J7" s="2">
        <v>60</v>
      </c>
      <c r="K7" s="2" t="s">
        <v>43</v>
      </c>
      <c r="L7" s="2" t="s">
        <v>99</v>
      </c>
      <c r="M7" s="2" t="s">
        <v>100</v>
      </c>
      <c r="N7" s="2" t="s">
        <v>91</v>
      </c>
      <c r="O7" s="2">
        <f t="shared" si="0"/>
        <v>45</v>
      </c>
      <c r="P7" s="2">
        <f t="shared" si="1"/>
        <v>15</v>
      </c>
      <c r="Q7" s="2" t="s">
        <v>41</v>
      </c>
      <c r="R7" s="2" t="s">
        <v>47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50</v>
      </c>
      <c r="X7" s="2" t="s">
        <v>50</v>
      </c>
      <c r="Y7" s="2" t="s">
        <v>47</v>
      </c>
      <c r="Z7" s="2" t="s">
        <v>101</v>
      </c>
      <c r="AA7" s="2" t="s">
        <v>50</v>
      </c>
      <c r="AB7" s="2" t="s">
        <v>102</v>
      </c>
      <c r="AC7" s="2" t="s">
        <v>50</v>
      </c>
      <c r="AD7" s="2" t="s">
        <v>51</v>
      </c>
      <c r="AE7" s="2" t="s">
        <v>48</v>
      </c>
      <c r="AF7" s="2">
        <f t="shared" si="2"/>
        <v>22500</v>
      </c>
      <c r="AG7" s="2" t="s">
        <v>103</v>
      </c>
      <c r="AH7" s="2" t="s">
        <v>47</v>
      </c>
      <c r="AI7" s="2" t="s">
        <v>55</v>
      </c>
      <c r="AJ7" s="3">
        <v>44363</v>
      </c>
      <c r="AK7" s="2">
        <f t="shared" si="3"/>
        <v>0.92</v>
      </c>
    </row>
    <row r="8" spans="1:39" x14ac:dyDescent="0.3">
      <c r="A8" s="2" t="s">
        <v>104</v>
      </c>
      <c r="B8" s="2" t="s">
        <v>105</v>
      </c>
      <c r="C8" s="2" t="s">
        <v>39</v>
      </c>
      <c r="D8" s="2" t="s">
        <v>89</v>
      </c>
      <c r="E8" s="2" t="s">
        <v>60</v>
      </c>
      <c r="F8" s="3">
        <v>43504</v>
      </c>
      <c r="G8" s="2" t="s">
        <v>79</v>
      </c>
      <c r="H8" s="3">
        <v>43782</v>
      </c>
      <c r="I8" s="3">
        <v>43782</v>
      </c>
      <c r="J8" s="2">
        <v>15</v>
      </c>
      <c r="K8" s="2" t="s">
        <v>80</v>
      </c>
      <c r="L8" s="2" t="s">
        <v>106</v>
      </c>
      <c r="M8" s="2"/>
      <c r="N8" s="2" t="s">
        <v>46</v>
      </c>
      <c r="O8" s="2">
        <f t="shared" si="0"/>
        <v>0</v>
      </c>
      <c r="P8" s="2">
        <f t="shared" si="1"/>
        <v>15</v>
      </c>
      <c r="Q8" s="2" t="s">
        <v>107</v>
      </c>
      <c r="R8" s="2" t="s">
        <v>47</v>
      </c>
      <c r="S8" s="2" t="s">
        <v>48</v>
      </c>
      <c r="T8" s="2" t="s">
        <v>48</v>
      </c>
      <c r="U8" s="2" t="s">
        <v>49</v>
      </c>
      <c r="V8" s="2" t="s">
        <v>48</v>
      </c>
      <c r="W8" s="2" t="s">
        <v>50</v>
      </c>
      <c r="X8" s="2" t="s">
        <v>51</v>
      </c>
      <c r="Y8" s="2" t="s">
        <v>50</v>
      </c>
      <c r="Z8" s="2" t="s">
        <v>108</v>
      </c>
      <c r="AA8" s="2" t="s">
        <v>51</v>
      </c>
      <c r="AB8" s="2"/>
      <c r="AC8" s="2" t="s">
        <v>50</v>
      </c>
      <c r="AD8" s="2" t="s">
        <v>50</v>
      </c>
      <c r="AE8" s="2" t="s">
        <v>49</v>
      </c>
      <c r="AF8" s="2">
        <f t="shared" si="2"/>
        <v>22500</v>
      </c>
      <c r="AG8" s="2" t="s">
        <v>109</v>
      </c>
      <c r="AH8" s="2" t="s">
        <v>110</v>
      </c>
      <c r="AI8" s="2" t="s">
        <v>55</v>
      </c>
      <c r="AJ8" s="3">
        <v>43787</v>
      </c>
      <c r="AK8" s="2">
        <f t="shared" si="3"/>
        <v>0.76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George Mathew</dc:creator>
  <cp:lastModifiedBy>Nikhil George Mathew</cp:lastModifiedBy>
  <dcterms:created xsi:type="dcterms:W3CDTF">2015-06-05T18:17:20Z</dcterms:created>
  <dcterms:modified xsi:type="dcterms:W3CDTF">2026-09-24T12:10:58Z</dcterms:modified>
</cp:coreProperties>
</file>