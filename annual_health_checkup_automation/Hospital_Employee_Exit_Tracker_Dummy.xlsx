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khi\Downloads\"/>
    </mc:Choice>
  </mc:AlternateContent>
  <xr:revisionPtr revIDLastSave="0" documentId="13_ncr:1_{DB0347D5-7783-4CCF-A79E-B46A81DCC88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it Track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K41" i="1" l="1"/>
  <c r="O41" i="1"/>
  <c r="P41" i="1" s="1"/>
  <c r="AF41" i="1" s="1"/>
  <c r="AK40" i="1"/>
  <c r="O40" i="1"/>
  <c r="P40" i="1" s="1"/>
  <c r="AF40" i="1" s="1"/>
  <c r="AK39" i="1"/>
  <c r="O39" i="1"/>
  <c r="P39" i="1" s="1"/>
  <c r="AF39" i="1" s="1"/>
  <c r="AK38" i="1"/>
  <c r="O38" i="1"/>
  <c r="P38" i="1" s="1"/>
  <c r="AF38" i="1" s="1"/>
  <c r="AK37" i="1"/>
  <c r="O37" i="1"/>
  <c r="P37" i="1" s="1"/>
  <c r="AF37" i="1" s="1"/>
  <c r="AK36" i="1"/>
  <c r="O36" i="1"/>
  <c r="P36" i="1" s="1"/>
  <c r="AF36" i="1" s="1"/>
  <c r="AK35" i="1"/>
  <c r="O35" i="1"/>
  <c r="P35" i="1" s="1"/>
  <c r="AF35" i="1" s="1"/>
  <c r="AK34" i="1"/>
  <c r="O34" i="1"/>
  <c r="P34" i="1" s="1"/>
  <c r="AF34" i="1" s="1"/>
  <c r="AK33" i="1"/>
  <c r="O33" i="1"/>
  <c r="P33" i="1" s="1"/>
  <c r="AF33" i="1" s="1"/>
  <c r="AK32" i="1"/>
  <c r="O32" i="1"/>
  <c r="P32" i="1" s="1"/>
  <c r="AF32" i="1" s="1"/>
  <c r="AK31" i="1"/>
  <c r="O31" i="1"/>
  <c r="P31" i="1" s="1"/>
  <c r="AF31" i="1" s="1"/>
  <c r="AK30" i="1"/>
  <c r="O30" i="1"/>
  <c r="P30" i="1" s="1"/>
  <c r="AF30" i="1" s="1"/>
  <c r="AK29" i="1"/>
  <c r="O29" i="1"/>
  <c r="P29" i="1" s="1"/>
  <c r="AF29" i="1" s="1"/>
  <c r="AK28" i="1"/>
  <c r="O28" i="1"/>
  <c r="P28" i="1" s="1"/>
  <c r="AF28" i="1" s="1"/>
  <c r="AK27" i="1"/>
  <c r="O27" i="1"/>
  <c r="P27" i="1" s="1"/>
  <c r="AF27" i="1" s="1"/>
  <c r="AK26" i="1"/>
  <c r="O26" i="1"/>
  <c r="P26" i="1" s="1"/>
  <c r="AF26" i="1" s="1"/>
  <c r="AK25" i="1"/>
  <c r="O25" i="1"/>
  <c r="P25" i="1" s="1"/>
  <c r="AF25" i="1" s="1"/>
  <c r="AK24" i="1"/>
  <c r="O24" i="1"/>
  <c r="P24" i="1" s="1"/>
  <c r="AF24" i="1" s="1"/>
  <c r="AK23" i="1"/>
  <c r="O23" i="1"/>
  <c r="P23" i="1" s="1"/>
  <c r="AF23" i="1" s="1"/>
  <c r="AK22" i="1"/>
  <c r="O22" i="1"/>
  <c r="P22" i="1" s="1"/>
  <c r="AF22" i="1" s="1"/>
  <c r="AK21" i="1"/>
  <c r="O21" i="1"/>
  <c r="P21" i="1" s="1"/>
  <c r="AF21" i="1" s="1"/>
  <c r="AK20" i="1"/>
  <c r="O20" i="1"/>
  <c r="P20" i="1" s="1"/>
  <c r="AF20" i="1" s="1"/>
  <c r="AK19" i="1"/>
  <c r="O19" i="1"/>
  <c r="P19" i="1" s="1"/>
  <c r="AF19" i="1" s="1"/>
  <c r="AK18" i="1"/>
  <c r="O18" i="1"/>
  <c r="P18" i="1" s="1"/>
  <c r="AF18" i="1" s="1"/>
  <c r="AK17" i="1"/>
  <c r="O17" i="1"/>
  <c r="P17" i="1" s="1"/>
  <c r="AF17" i="1" s="1"/>
  <c r="AK16" i="1"/>
  <c r="O16" i="1"/>
  <c r="P16" i="1" s="1"/>
  <c r="AF16" i="1" s="1"/>
  <c r="AK15" i="1"/>
  <c r="O15" i="1"/>
  <c r="P15" i="1" s="1"/>
  <c r="AF15" i="1" s="1"/>
  <c r="AK14" i="1"/>
  <c r="O14" i="1"/>
  <c r="P14" i="1" s="1"/>
  <c r="AF14" i="1" s="1"/>
  <c r="AK13" i="1"/>
  <c r="O13" i="1"/>
  <c r="P13" i="1" s="1"/>
  <c r="AF13" i="1" s="1"/>
  <c r="AK12" i="1"/>
  <c r="O12" i="1"/>
  <c r="P12" i="1" s="1"/>
  <c r="AF12" i="1" s="1"/>
  <c r="AK11" i="1"/>
  <c r="O11" i="1"/>
  <c r="P11" i="1" s="1"/>
  <c r="AF11" i="1" s="1"/>
  <c r="AK10" i="1"/>
  <c r="O10" i="1"/>
  <c r="P10" i="1" s="1"/>
  <c r="AF10" i="1" s="1"/>
  <c r="AK9" i="1"/>
  <c r="O9" i="1"/>
  <c r="P9" i="1" s="1"/>
  <c r="AF9" i="1" s="1"/>
  <c r="AK8" i="1"/>
  <c r="O8" i="1"/>
  <c r="P8" i="1" s="1"/>
  <c r="AF8" i="1" s="1"/>
  <c r="AK7" i="1"/>
  <c r="O7" i="1"/>
  <c r="P7" i="1" s="1"/>
  <c r="AF7" i="1" s="1"/>
  <c r="AK6" i="1"/>
  <c r="O6" i="1"/>
  <c r="P6" i="1" s="1"/>
  <c r="AF6" i="1" s="1"/>
  <c r="AK5" i="1"/>
  <c r="O5" i="1"/>
  <c r="P5" i="1" s="1"/>
  <c r="AF5" i="1" s="1"/>
  <c r="AK4" i="1"/>
  <c r="O4" i="1"/>
  <c r="P4" i="1" s="1"/>
  <c r="AF4" i="1" s="1"/>
  <c r="AK3" i="1"/>
  <c r="O3" i="1"/>
  <c r="P3" i="1" s="1"/>
  <c r="AF3" i="1" s="1"/>
  <c r="AK2" i="1"/>
  <c r="O2" i="1"/>
  <c r="P2" i="1" s="1"/>
  <c r="AF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F1" authorId="0" shapeId="0" xr:uid="{00000000-0006-0000-0000-000001000000}">
      <text>
        <r>
          <rPr>
            <sz val="10"/>
            <rFont val="Arial"/>
            <family val="2"/>
          </rPr>
          <t>Dummy-data assumption: recovery amount = shortfall days x Rs.1500/day (placeholder average daily wage). Replace with actual salary-based rate for real data.</t>
        </r>
      </text>
    </comment>
  </commentList>
</comments>
</file>

<file path=xl/sharedStrings.xml><?xml version="1.0" encoding="utf-8"?>
<sst xmlns="http://schemas.openxmlformats.org/spreadsheetml/2006/main" count="1129" uniqueCount="285">
  <si>
    <t>Employee ID</t>
  </si>
  <si>
    <t>Employee Name</t>
  </si>
  <si>
    <t>Department</t>
  </si>
  <si>
    <t>Designation / Cadre</t>
  </si>
  <si>
    <t>Reporting Manager / HOD</t>
  </si>
  <si>
    <t>Date of Joining (DOJ)</t>
  </si>
  <si>
    <t>Employment Type</t>
  </si>
  <si>
    <t>Date of Resignation</t>
  </si>
  <si>
    <t>Last Working Day (LWD)</t>
  </si>
  <si>
    <t>Notice Period Required (Days)</t>
  </si>
  <si>
    <t>Type of Exit</t>
  </si>
  <si>
    <t>Reason for Leaving</t>
  </si>
  <si>
    <t>Detailed Reason / Feedback (Exit Interview)</t>
  </si>
  <si>
    <t>HR Remarks</t>
  </si>
  <si>
    <t>Notice Period Served (Days)</t>
  </si>
  <si>
    <t>Notice Period Shortfall (Days)</t>
  </si>
  <si>
    <t>Resignation Accepted By</t>
  </si>
  <si>
    <t>Clearance - Nursing</t>
  </si>
  <si>
    <t>Clearance - Medical</t>
  </si>
  <si>
    <t>Clearance - IT</t>
  </si>
  <si>
    <t>Clearance - Finance</t>
  </si>
  <si>
    <t>Clearance - HR</t>
  </si>
  <si>
    <t>ID Card / Uniform Returned</t>
  </si>
  <si>
    <t>IT Access Revoked (HIS, Email, Biometric)</t>
  </si>
  <si>
    <t>Locker / Quarter / Accommodation Vacated</t>
  </si>
  <si>
    <t>Exit Interview Conducted By &amp; Date</t>
  </si>
  <si>
    <t>Rehire Eligibility</t>
  </si>
  <si>
    <t>Remarks</t>
  </si>
  <si>
    <t>Replacement Found</t>
  </si>
  <si>
    <t>Critical Role / Replacement Required</t>
  </si>
  <si>
    <t>Full &amp; Final Settlement Status</t>
  </si>
  <si>
    <t>Notice Period Recovery Amount</t>
  </si>
  <si>
    <t>Leave Encashment (Days / Amount)</t>
  </si>
  <si>
    <t>Bond / Training Cost Recovery</t>
  </si>
  <si>
    <t>PF / Gratuity Status</t>
  </si>
  <si>
    <t>Relieving Letter / Experience Letter Issued Date</t>
  </si>
  <si>
    <t>Tenure in Organization (Years)</t>
  </si>
  <si>
    <t>HOSP1001</t>
  </si>
  <si>
    <t>Nitin Menon</t>
  </si>
  <si>
    <t>Radiology</t>
  </si>
  <si>
    <t>Radiographer</t>
  </si>
  <si>
    <t>Dr. S. Ramanathan</t>
  </si>
  <si>
    <t>Contract</t>
  </si>
  <si>
    <t>Voluntary Resignation</t>
  </si>
  <si>
    <t>Better Opportunity</t>
  </si>
  <si>
    <t>Raised concerns about shift schedules.</t>
  </si>
  <si>
    <t>Smooth handover completed.</t>
  </si>
  <si>
    <t>NA</t>
  </si>
  <si>
    <t>Completed</t>
  </si>
  <si>
    <t>Pending</t>
  </si>
  <si>
    <t>Yes</t>
  </si>
  <si>
    <t>No</t>
  </si>
  <si>
    <t>Dr. S. Ramanathan - 05-Jun-2025</t>
  </si>
  <si>
    <t>Exit formalities delayed.</t>
  </si>
  <si>
    <t>6 days / Rs.34800</t>
  </si>
  <si>
    <t>Processed</t>
  </si>
  <si>
    <t>HOSP1002</t>
  </si>
  <si>
    <t>Ritu Krishnan</t>
  </si>
  <si>
    <t>Pharmacy</t>
  </si>
  <si>
    <t>Pharmacist</t>
  </si>
  <si>
    <t>Ms. Ananya Das</t>
  </si>
  <si>
    <t>Probation</t>
  </si>
  <si>
    <t>Absconding</t>
  </si>
  <si>
    <t>Salary Dissatisfaction</t>
  </si>
  <si>
    <t>Satisfied with role, leaving for personal reasons.</t>
  </si>
  <si>
    <t>Dr. Fatima Sheikh - 13-Apr-2026</t>
  </si>
  <si>
    <t>Processing</t>
  </si>
  <si>
    <t>5 days / Rs.15950</t>
  </si>
  <si>
    <t>HOSP1003</t>
  </si>
  <si>
    <t>Sameer Menon</t>
  </si>
  <si>
    <t>Mr. Arvind Rao</t>
  </si>
  <si>
    <t>Career Growth</t>
  </si>
  <si>
    <t>Mr. George Mathew - 12-Dec-2023</t>
  </si>
  <si>
    <t>7 days / Rs.33350</t>
  </si>
  <si>
    <t>Not Applicable (tenure &lt; 6 months)</t>
  </si>
  <si>
    <t>HOSP1004</t>
  </si>
  <si>
    <t>Pooja Kumar</t>
  </si>
  <si>
    <t>Security</t>
  </si>
  <si>
    <t>Security Supervisor</t>
  </si>
  <si>
    <t>Part-Time</t>
  </si>
  <si>
    <t>Involuntary Termination</t>
  </si>
  <si>
    <t>Contract Completed</t>
  </si>
  <si>
    <t>Cited lack of growth opportunities.</t>
  </si>
  <si>
    <t>Flagged for rehire eligibility review.</t>
  </si>
  <si>
    <t>Mr. George Mathew</t>
  </si>
  <si>
    <t>Ms. Kavitha Nair - 18-Nov-2019</t>
  </si>
  <si>
    <t>23 days / Rs.33350</t>
  </si>
  <si>
    <t>HOSP1005</t>
  </si>
  <si>
    <t>Rohan Verma</t>
  </si>
  <si>
    <t>Radiology Technician</t>
  </si>
  <si>
    <t>Dr. Fatima Sheikh</t>
  </si>
  <si>
    <t>No issues during exit.</t>
  </si>
  <si>
    <t>Mr. George Mathew - 15-Sep-2025</t>
  </si>
  <si>
    <t>Conditional</t>
  </si>
  <si>
    <t>17 days / Rs.34800</t>
  </si>
  <si>
    <t>HOSP1006</t>
  </si>
  <si>
    <t>Bhavya Naidu</t>
  </si>
  <si>
    <t>Pharmacy Assistant</t>
  </si>
  <si>
    <t>Permanent</t>
  </si>
  <si>
    <t>Family Commitments</t>
  </si>
  <si>
    <t>Cited better compensation elsewhere.</t>
  </si>
  <si>
    <t>Mr. George Mathew - 11-Jun-2021</t>
  </si>
  <si>
    <t>No concerns raised.</t>
  </si>
  <si>
    <t>15 days / Rs.18850</t>
  </si>
  <si>
    <t>HOSP1007</t>
  </si>
  <si>
    <t>Harish Shetty</t>
  </si>
  <si>
    <t>Higher Studies</t>
  </si>
  <si>
    <t>Dr. Ravi Chandran</t>
  </si>
  <si>
    <t>Dr. S. Ramanathan - 13-Nov-2019</t>
  </si>
  <si>
    <t>15 days / Rs.21750</t>
  </si>
  <si>
    <t>Rs.10000</t>
  </si>
  <si>
    <t>HOSP1008</t>
  </si>
  <si>
    <t>Shreya Patel</t>
  </si>
  <si>
    <t>Administration</t>
  </si>
  <si>
    <t>Front Office Executive</t>
  </si>
  <si>
    <t>Personal Reasons</t>
  </si>
  <si>
    <t>Some pending documentation from employee side.</t>
  </si>
  <si>
    <t>Mr. Arvind Rao - 10-Dec-2025</t>
  </si>
  <si>
    <t>3 days / Rs.26100</t>
  </si>
  <si>
    <t>HOSP1009</t>
  </si>
  <si>
    <t>Manoj Singh</t>
  </si>
  <si>
    <t>Mr. Bala Subramaniam</t>
  </si>
  <si>
    <t>Wants to pursue further studies.</t>
  </si>
  <si>
    <t>Mr. Bala Subramaniam - 19-Apr-2023</t>
  </si>
  <si>
    <t>21 days / Rs.4350</t>
  </si>
  <si>
    <t>HOSP1010</t>
  </si>
  <si>
    <t>Swati Krishnan</t>
  </si>
  <si>
    <t>Medical</t>
  </si>
  <si>
    <t>Medical Officer</t>
  </si>
  <si>
    <t>Dr. Ravi Chandran - 03-Jun-2023</t>
  </si>
  <si>
    <t>17 days / Rs.1450</t>
  </si>
  <si>
    <t>HOSP1011</t>
  </si>
  <si>
    <t>Vinod Iyer</t>
  </si>
  <si>
    <t>Admin Executive</t>
  </si>
  <si>
    <t>End of Contract</t>
  </si>
  <si>
    <t>Mr. Bala Subramaniam - 13-Jan-2022</t>
  </si>
  <si>
    <t>7 days / Rs.8700</t>
  </si>
  <si>
    <t>HOSP1012</t>
  </si>
  <si>
    <t>Kavya Joshi</t>
  </si>
  <si>
    <t>Finance</t>
  </si>
  <si>
    <t>Accountant</t>
  </si>
  <si>
    <t>Declined to give detailed feedback.</t>
  </si>
  <si>
    <t>Ms. Kavitha Nair</t>
  </si>
  <si>
    <t>Ms. Ananya Das - 12-Jan-2022</t>
  </si>
  <si>
    <t>8 days / Rs.1450</t>
  </si>
  <si>
    <t>Rs.25000</t>
  </si>
  <si>
    <t>HOSP1013</t>
  </si>
  <si>
    <t>Harish Reddy</t>
  </si>
  <si>
    <t>Housekeeping</t>
  </si>
  <si>
    <t>Housekeeping Staff</t>
  </si>
  <si>
    <t>Relocating with family to another city.</t>
  </si>
  <si>
    <t>Mr. Bala Subramaniam - 11-Dec-2022</t>
  </si>
  <si>
    <t>14 days / Rs.20300</t>
  </si>
  <si>
    <t>HOSP1014</t>
  </si>
  <si>
    <t>Swati Desai</t>
  </si>
  <si>
    <t>Office Assistant</t>
  </si>
  <si>
    <t>Relocation</t>
  </si>
  <si>
    <t>Dr. Fatima Sheikh - 28-Mar-2024</t>
  </si>
  <si>
    <t>5 days / Rs.31900</t>
  </si>
  <si>
    <t>HOSP1015</t>
  </si>
  <si>
    <t>Ramesh Kumar</t>
  </si>
  <si>
    <t>Ms. Kavitha Nair - 14-Jul-2026</t>
  </si>
  <si>
    <t>Good performer, left on good terms.</t>
  </si>
  <si>
    <t>10 days / Rs.24650</t>
  </si>
  <si>
    <t>HOSP1016</t>
  </si>
  <si>
    <t>Manoj Reddy</t>
  </si>
  <si>
    <t>Finance Executive</t>
  </si>
  <si>
    <t>Health Reasons</t>
  </si>
  <si>
    <t>Mr. George Mathew - 01-Nov-2024</t>
  </si>
  <si>
    <t>12 days / Rs.14500</t>
  </si>
  <si>
    <t>HOSP1017</t>
  </si>
  <si>
    <t>Ganesh Mehta</t>
  </si>
  <si>
    <t>Laboratory</t>
  </si>
  <si>
    <t>Lab Technician</t>
  </si>
  <si>
    <t>Handover delayed by a week.</t>
  </si>
  <si>
    <t>Dr. S. Ramanathan - 24-Sep-2023</t>
  </si>
  <si>
    <t>HOSP1018</t>
  </si>
  <si>
    <t>Manoj Naidu</t>
  </si>
  <si>
    <t>Ms. Ananya Das - 01-May-2021</t>
  </si>
  <si>
    <t>13 days / Rs.21750</t>
  </si>
  <si>
    <t>HOSP1019</t>
  </si>
  <si>
    <t>Harish Rao</t>
  </si>
  <si>
    <t>Ms. Ananya Das - 01-Nov-2025</t>
  </si>
  <si>
    <t>10 days / Rs.11600</t>
  </si>
  <si>
    <t>HOSP1020</t>
  </si>
  <si>
    <t>Ajay Shetty</t>
  </si>
  <si>
    <t>Mr. George Mathew - 05-Mar-2026</t>
  </si>
  <si>
    <t>23 days / Rs.8700</t>
  </si>
  <si>
    <t>HOSP1021</t>
  </si>
  <si>
    <t>Nitin Mehta</t>
  </si>
  <si>
    <t>Mr. Bala Subramaniam - 16-Aug-2023</t>
  </si>
  <si>
    <t>1 days / Rs.11600</t>
  </si>
  <si>
    <t>HOSP1022</t>
  </si>
  <si>
    <t>Arjun Kumar</t>
  </si>
  <si>
    <t>Ms. Kavitha Nair - 25-Nov-2021</t>
  </si>
  <si>
    <t>7 days / Rs.7250</t>
  </si>
  <si>
    <t>HOSP1023</t>
  </si>
  <si>
    <t>Farhan Pillai</t>
  </si>
  <si>
    <t>Nursing</t>
  </si>
  <si>
    <t>Nursing Supervisor</t>
  </si>
  <si>
    <t>Work-Life Balance</t>
  </si>
  <si>
    <t>Dr. S. Ramanathan - 26-May-2025</t>
  </si>
  <si>
    <t>14 days / Rs.31900</t>
  </si>
  <si>
    <t>Rs.15000</t>
  </si>
  <si>
    <t>HOSP1024</t>
  </si>
  <si>
    <t>Vikram Krishnan</t>
  </si>
  <si>
    <t>Housekeeping Supervisor</t>
  </si>
  <si>
    <t>Dr. Ravi Chandran - 15-Apr-2025</t>
  </si>
  <si>
    <t>13 days / Rs.14500</t>
  </si>
  <si>
    <t>HOSP1025</t>
  </si>
  <si>
    <t>Swati Joshi</t>
  </si>
  <si>
    <t>HR</t>
  </si>
  <si>
    <t>HR Manager</t>
  </si>
  <si>
    <t>Dr. Fatima Sheikh - 20-Oct-2022</t>
  </si>
  <si>
    <t>22 days / Rs.21750</t>
  </si>
  <si>
    <t>HOSP1026</t>
  </si>
  <si>
    <t>Anita Reddy</t>
  </si>
  <si>
    <t>Retirement (Superannuation)</t>
  </si>
  <si>
    <t>Mr. Arvind Rao - 31-Dec-2023</t>
  </si>
  <si>
    <t>0 days / Rs.13050</t>
  </si>
  <si>
    <t>HOSP1027</t>
  </si>
  <si>
    <t>Ritu Singh</t>
  </si>
  <si>
    <t>Ms. Ananya Das - 10-Aug-2026</t>
  </si>
  <si>
    <t>23 days / Rs.5800</t>
  </si>
  <si>
    <t>HOSP1028</t>
  </si>
  <si>
    <t>Ganesh Reddy</t>
  </si>
  <si>
    <t>Lab Supervisor</t>
  </si>
  <si>
    <t>Dr. S. Ramanathan - 23-Feb-2025</t>
  </si>
  <si>
    <t>13 days / Rs.5800</t>
  </si>
  <si>
    <t>HOSP1029</t>
  </si>
  <si>
    <t>Shreya Krishnan</t>
  </si>
  <si>
    <t>Mr. George Mathew - 07-Feb-2025</t>
  </si>
  <si>
    <t>7 days / Rs.17400</t>
  </si>
  <si>
    <t>HOSP1030</t>
  </si>
  <si>
    <t>Nitin Sharma</t>
  </si>
  <si>
    <t>IT</t>
  </si>
  <si>
    <t>IT Support Engineer</t>
  </si>
  <si>
    <t>Ms. Kavitha Nair - 20-Nov-2025</t>
  </si>
  <si>
    <t>4 days / Rs.24650</t>
  </si>
  <si>
    <t>HOSP1031</t>
  </si>
  <si>
    <t>Sanjay Nair</t>
  </si>
  <si>
    <t>System Administrator</t>
  </si>
  <si>
    <t>Dr. Fatima Sheikh - 11-Mar-2022</t>
  </si>
  <si>
    <t>20 days / Rs.20300</t>
  </si>
  <si>
    <t>HOSP1032</t>
  </si>
  <si>
    <t>Priya Pillai</t>
  </si>
  <si>
    <t>Exit process straightforward.</t>
  </si>
  <si>
    <t>Ms. Ananya Das - 10-Nov-2021</t>
  </si>
  <si>
    <t>3 days / Rs.30450</t>
  </si>
  <si>
    <t>HOSP1033</t>
  </si>
  <si>
    <t>Karthik Naidu</t>
  </si>
  <si>
    <t>Mr. Arvind Rao - 31-Dec-2024</t>
  </si>
  <si>
    <t>21 days / Rs.0</t>
  </si>
  <si>
    <t>HOSP1034</t>
  </si>
  <si>
    <t>Rahul Rao</t>
  </si>
  <si>
    <t>Billing Executive</t>
  </si>
  <si>
    <t>Mr. George Mathew - 12-Apr-2024</t>
  </si>
  <si>
    <t>2 days / Rs.2900</t>
  </si>
  <si>
    <t>HOSP1035</t>
  </si>
  <si>
    <t>Ms. Ananya Das - 31-Mar-2026</t>
  </si>
  <si>
    <t>21 days / Rs.21750</t>
  </si>
  <si>
    <t>HOSP1036</t>
  </si>
  <si>
    <t>Vinod Kumar</t>
  </si>
  <si>
    <t>Senior Consultant</t>
  </si>
  <si>
    <t>Dr. Fatima Sheikh - 06-Apr-2024</t>
  </si>
  <si>
    <t>18 days / Rs.10150</t>
  </si>
  <si>
    <t>HOSP1037</t>
  </si>
  <si>
    <t>Deepak Singh</t>
  </si>
  <si>
    <t>Senior Staff Nurse</t>
  </si>
  <si>
    <t>Ms. Kavitha Nair - 11-Oct-2021</t>
  </si>
  <si>
    <t>8 days / Rs.20300</t>
  </si>
  <si>
    <t>HOSP1038</t>
  </si>
  <si>
    <t>Nitin Gupta</t>
  </si>
  <si>
    <t>Performance Issues</t>
  </si>
  <si>
    <t>Mr. Bala Subramaniam - 24-Sep-2023</t>
  </si>
  <si>
    <t>23 days / Rs.18850</t>
  </si>
  <si>
    <t>HOSP1039</t>
  </si>
  <si>
    <t>Sneha Joshi</t>
  </si>
  <si>
    <t>Dr. Ravi Chandran - 11-Sep-2023</t>
  </si>
  <si>
    <t>12 days / Rs.13050</t>
  </si>
  <si>
    <t>HOSP1040</t>
  </si>
  <si>
    <t>Naveen Nair</t>
  </si>
  <si>
    <t>HR Executive</t>
  </si>
  <si>
    <t>Mr. Arvind Rao - 07-Mar-2026</t>
  </si>
  <si>
    <t>8 days / Rs.26100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</si>
</sst>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1"/>
  <sheetViews>
    <sheetView tabSelected="1" topLeftCell="S1" zoomScaleNormal="100" workbookViewId="0">
      <pane ySplit="1" topLeftCell="A2" activePane="bottomLeft" state="frozen"/>
      <selection pane="bottomLeft" activeCell="AA11" sqref="AA11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4" customWidth="1"/>
    <col min="4" max="5" width="20" customWidth="1"/>
    <col min="6" max="6" width="14" customWidth="1"/>
    <col min="7" max="7" width="13" customWidth="1"/>
    <col min="8" max="9" width="14" customWidth="1"/>
    <col min="10" max="10" width="12" customWidth="1"/>
    <col min="11" max="12" width="18" customWidth="1"/>
    <col min="13" max="13" width="28" customWidth="1"/>
    <col min="14" max="14" width="24" customWidth="1"/>
    <col min="15" max="16" width="12" customWidth="1"/>
    <col min="17" max="17" width="18" customWidth="1"/>
    <col min="18" max="25" width="13" customWidth="1"/>
    <col min="26" max="26" width="26" customWidth="1"/>
    <col min="27" max="32" width="13" customWidth="1"/>
    <col min="33" max="33" width="20" customWidth="1"/>
    <col min="34" max="35" width="13" customWidth="1"/>
    <col min="36" max="36" width="16" customWidth="1"/>
    <col min="37" max="37" width="13" customWidth="1"/>
  </cols>
  <sheetData>
    <row r="1" spans="1:37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3">
        <v>43520</v>
      </c>
      <c r="G2" s="2" t="s">
        <v>42</v>
      </c>
      <c r="H2" s="3">
        <v>45783</v>
      </c>
      <c r="I2" s="3">
        <v>45813</v>
      </c>
      <c r="J2" s="2">
        <v>30</v>
      </c>
      <c r="K2" s="2" t="s">
        <v>43</v>
      </c>
      <c r="L2" s="2" t="s">
        <v>44</v>
      </c>
      <c r="M2" s="2" t="s">
        <v>45</v>
      </c>
      <c r="N2" s="2" t="s">
        <v>46</v>
      </c>
      <c r="O2" s="2">
        <f t="shared" ref="O2:O41" si="0">IF(AND(H2&lt;&gt;"",I2&lt;&gt;""),I2-H2,"")</f>
        <v>30</v>
      </c>
      <c r="P2" s="2">
        <f t="shared" ref="P2:P41" si="1">IF(O2&lt;&gt;"",MAX(J2-O2,0),"")</f>
        <v>0</v>
      </c>
      <c r="Q2" s="2" t="s">
        <v>41</v>
      </c>
      <c r="R2" s="2" t="s">
        <v>47</v>
      </c>
      <c r="S2" s="2" t="s">
        <v>47</v>
      </c>
      <c r="T2" s="2" t="s">
        <v>48</v>
      </c>
      <c r="U2" s="2" t="s">
        <v>47</v>
      </c>
      <c r="V2" s="2" t="s">
        <v>49</v>
      </c>
      <c r="W2" s="2" t="s">
        <v>50</v>
      </c>
      <c r="X2" s="2" t="s">
        <v>51</v>
      </c>
      <c r="Y2" s="2" t="s">
        <v>47</v>
      </c>
      <c r="Z2" s="2" t="s">
        <v>52</v>
      </c>
      <c r="AA2" s="2" t="s">
        <v>50</v>
      </c>
      <c r="AB2" s="2" t="s">
        <v>53</v>
      </c>
      <c r="AC2" s="2" t="s">
        <v>51</v>
      </c>
      <c r="AD2" s="2" t="s">
        <v>51</v>
      </c>
      <c r="AE2" s="2" t="s">
        <v>48</v>
      </c>
      <c r="AF2" s="2">
        <f t="shared" ref="AF2:AF41" si="2">IF(P2&lt;&gt;"",P2*1500,0)</f>
        <v>0</v>
      </c>
      <c r="AG2" s="2" t="s">
        <v>54</v>
      </c>
      <c r="AH2" s="2" t="s">
        <v>47</v>
      </c>
      <c r="AI2" s="2" t="s">
        <v>55</v>
      </c>
      <c r="AJ2" s="2"/>
      <c r="AK2" s="2">
        <f t="shared" ref="AK2:AK41" si="3">IF(AND(F2&lt;&gt;"",I2&lt;&gt;""),ROUND(YEARFRAC(F2,I2,1),2),"")</f>
        <v>6.28</v>
      </c>
    </row>
    <row r="3" spans="1:37" x14ac:dyDescent="0.3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3">
        <v>44982</v>
      </c>
      <c r="G3" s="2" t="s">
        <v>61</v>
      </c>
      <c r="H3" s="3">
        <v>46110</v>
      </c>
      <c r="I3" s="3">
        <v>46125</v>
      </c>
      <c r="J3" s="2">
        <v>15</v>
      </c>
      <c r="K3" s="2" t="s">
        <v>62</v>
      </c>
      <c r="L3" s="2" t="s">
        <v>63</v>
      </c>
      <c r="M3" s="2" t="s">
        <v>64</v>
      </c>
      <c r="N3" s="2"/>
      <c r="O3" s="2">
        <f t="shared" si="0"/>
        <v>15</v>
      </c>
      <c r="P3" s="2">
        <f t="shared" si="1"/>
        <v>0</v>
      </c>
      <c r="Q3" s="2" t="s">
        <v>60</v>
      </c>
      <c r="R3" s="2" t="s">
        <v>47</v>
      </c>
      <c r="S3" s="2" t="s">
        <v>47</v>
      </c>
      <c r="T3" s="2" t="s">
        <v>48</v>
      </c>
      <c r="U3" s="2" t="s">
        <v>48</v>
      </c>
      <c r="V3" s="2" t="s">
        <v>48</v>
      </c>
      <c r="W3" s="2" t="s">
        <v>50</v>
      </c>
      <c r="X3" s="2" t="s">
        <v>49</v>
      </c>
      <c r="Y3" s="2" t="s">
        <v>50</v>
      </c>
      <c r="Z3" s="2" t="s">
        <v>65</v>
      </c>
      <c r="AA3" s="2" t="s">
        <v>51</v>
      </c>
      <c r="AB3" s="2" t="s">
        <v>53</v>
      </c>
      <c r="AC3" s="2" t="s">
        <v>51</v>
      </c>
      <c r="AD3" s="2" t="s">
        <v>51</v>
      </c>
      <c r="AE3" s="2" t="s">
        <v>66</v>
      </c>
      <c r="AF3" s="2">
        <f t="shared" si="2"/>
        <v>0</v>
      </c>
      <c r="AG3" s="2" t="s">
        <v>67</v>
      </c>
      <c r="AH3" s="2" t="s">
        <v>47</v>
      </c>
      <c r="AI3" s="2" t="s">
        <v>49</v>
      </c>
      <c r="AJ3" s="2"/>
      <c r="AK3" s="2">
        <f t="shared" si="3"/>
        <v>3.13</v>
      </c>
    </row>
    <row r="4" spans="1:37" x14ac:dyDescent="0.3">
      <c r="A4" s="2" t="s">
        <v>68</v>
      </c>
      <c r="B4" s="2" t="s">
        <v>69</v>
      </c>
      <c r="C4" s="2" t="s">
        <v>39</v>
      </c>
      <c r="D4" s="2" t="s">
        <v>40</v>
      </c>
      <c r="E4" s="2" t="s">
        <v>70</v>
      </c>
      <c r="F4" s="3">
        <v>44655</v>
      </c>
      <c r="G4" s="2" t="s">
        <v>42</v>
      </c>
      <c r="H4" s="3">
        <v>45237</v>
      </c>
      <c r="I4" s="3">
        <v>45272</v>
      </c>
      <c r="J4" s="2">
        <v>30</v>
      </c>
      <c r="K4" s="2" t="s">
        <v>43</v>
      </c>
      <c r="L4" s="2" t="s">
        <v>71</v>
      </c>
      <c r="M4" s="2" t="s">
        <v>45</v>
      </c>
      <c r="N4" s="2"/>
      <c r="O4" s="2">
        <f t="shared" si="0"/>
        <v>35</v>
      </c>
      <c r="P4" s="2">
        <f t="shared" si="1"/>
        <v>0</v>
      </c>
      <c r="Q4" s="2" t="s">
        <v>41</v>
      </c>
      <c r="R4" s="2" t="s">
        <v>47</v>
      </c>
      <c r="S4" s="2" t="s">
        <v>48</v>
      </c>
      <c r="T4" s="2" t="s">
        <v>49</v>
      </c>
      <c r="U4" s="2" t="s">
        <v>48</v>
      </c>
      <c r="V4" s="2" t="s">
        <v>48</v>
      </c>
      <c r="W4" s="2" t="s">
        <v>50</v>
      </c>
      <c r="X4" s="2" t="s">
        <v>49</v>
      </c>
      <c r="Y4" s="2" t="s">
        <v>51</v>
      </c>
      <c r="Z4" s="2" t="s">
        <v>72</v>
      </c>
      <c r="AA4" s="2" t="s">
        <v>50</v>
      </c>
      <c r="AB4" s="2" t="s">
        <v>53</v>
      </c>
      <c r="AC4" s="2" t="s">
        <v>50</v>
      </c>
      <c r="AD4" s="2" t="s">
        <v>51</v>
      </c>
      <c r="AE4" s="2" t="s">
        <v>48</v>
      </c>
      <c r="AF4" s="2">
        <f t="shared" si="2"/>
        <v>0</v>
      </c>
      <c r="AG4" s="2" t="s">
        <v>73</v>
      </c>
      <c r="AH4" s="2" t="s">
        <v>47</v>
      </c>
      <c r="AI4" s="2" t="s">
        <v>74</v>
      </c>
      <c r="AJ4" s="3">
        <v>45275</v>
      </c>
      <c r="AK4" s="2">
        <f t="shared" si="3"/>
        <v>1.69</v>
      </c>
    </row>
    <row r="5" spans="1:37" x14ac:dyDescent="0.3">
      <c r="A5" s="2" t="s">
        <v>75</v>
      </c>
      <c r="B5" s="2" t="s">
        <v>76</v>
      </c>
      <c r="C5" s="2" t="s">
        <v>77</v>
      </c>
      <c r="D5" s="2" t="s">
        <v>78</v>
      </c>
      <c r="E5" s="2" t="s">
        <v>60</v>
      </c>
      <c r="F5" s="3">
        <v>43293</v>
      </c>
      <c r="G5" s="2" t="s">
        <v>79</v>
      </c>
      <c r="H5" s="3">
        <v>43772</v>
      </c>
      <c r="I5" s="3">
        <v>43787</v>
      </c>
      <c r="J5" s="2">
        <v>15</v>
      </c>
      <c r="K5" s="2" t="s">
        <v>80</v>
      </c>
      <c r="L5" s="2" t="s">
        <v>81</v>
      </c>
      <c r="M5" s="2" t="s">
        <v>82</v>
      </c>
      <c r="N5" s="2" t="s">
        <v>83</v>
      </c>
      <c r="O5" s="2">
        <f t="shared" si="0"/>
        <v>15</v>
      </c>
      <c r="P5" s="2">
        <f t="shared" si="1"/>
        <v>0</v>
      </c>
      <c r="Q5" s="2" t="s">
        <v>84</v>
      </c>
      <c r="R5" s="2" t="s">
        <v>47</v>
      </c>
      <c r="S5" s="2" t="s">
        <v>47</v>
      </c>
      <c r="T5" s="2" t="s">
        <v>48</v>
      </c>
      <c r="U5" s="2" t="s">
        <v>47</v>
      </c>
      <c r="V5" s="2" t="s">
        <v>48</v>
      </c>
      <c r="W5" s="2" t="s">
        <v>50</v>
      </c>
      <c r="X5" s="2" t="s">
        <v>49</v>
      </c>
      <c r="Y5" s="2" t="s">
        <v>47</v>
      </c>
      <c r="Z5" s="2" t="s">
        <v>85</v>
      </c>
      <c r="AA5" s="2" t="s">
        <v>51</v>
      </c>
      <c r="AB5" s="2" t="s">
        <v>53</v>
      </c>
      <c r="AC5" s="2" t="s">
        <v>50</v>
      </c>
      <c r="AD5" s="2" t="s">
        <v>51</v>
      </c>
      <c r="AE5" s="2" t="s">
        <v>48</v>
      </c>
      <c r="AF5" s="2">
        <f t="shared" si="2"/>
        <v>0</v>
      </c>
      <c r="AG5" s="2" t="s">
        <v>86</v>
      </c>
      <c r="AH5" s="2" t="s">
        <v>47</v>
      </c>
      <c r="AI5" s="2" t="s">
        <v>55</v>
      </c>
      <c r="AJ5" s="3">
        <v>43790</v>
      </c>
      <c r="AK5" s="2">
        <f t="shared" si="3"/>
        <v>1.35</v>
      </c>
    </row>
    <row r="6" spans="1:37" x14ac:dyDescent="0.3">
      <c r="A6" s="2" t="s">
        <v>87</v>
      </c>
      <c r="B6" s="2" t="s">
        <v>88</v>
      </c>
      <c r="C6" s="2" t="s">
        <v>39</v>
      </c>
      <c r="D6" s="2" t="s">
        <v>89</v>
      </c>
      <c r="E6" s="2" t="s">
        <v>90</v>
      </c>
      <c r="F6" s="3">
        <v>45554</v>
      </c>
      <c r="G6" s="2" t="s">
        <v>42</v>
      </c>
      <c r="H6" s="3">
        <v>45915</v>
      </c>
      <c r="I6" s="3">
        <v>45915</v>
      </c>
      <c r="J6" s="2">
        <v>30</v>
      </c>
      <c r="K6" s="2" t="s">
        <v>43</v>
      </c>
      <c r="L6" s="2" t="s">
        <v>71</v>
      </c>
      <c r="M6" s="2" t="s">
        <v>45</v>
      </c>
      <c r="N6" s="2" t="s">
        <v>91</v>
      </c>
      <c r="O6" s="2">
        <f t="shared" si="0"/>
        <v>0</v>
      </c>
      <c r="P6" s="2">
        <f t="shared" si="1"/>
        <v>30</v>
      </c>
      <c r="Q6" s="2" t="s">
        <v>90</v>
      </c>
      <c r="R6" s="2" t="s">
        <v>47</v>
      </c>
      <c r="S6" s="2" t="s">
        <v>47</v>
      </c>
      <c r="T6" s="2" t="s">
        <v>48</v>
      </c>
      <c r="U6" s="2" t="s">
        <v>48</v>
      </c>
      <c r="V6" s="2" t="s">
        <v>49</v>
      </c>
      <c r="W6" s="2" t="s">
        <v>50</v>
      </c>
      <c r="X6" s="2" t="s">
        <v>50</v>
      </c>
      <c r="Y6" s="2" t="s">
        <v>51</v>
      </c>
      <c r="Z6" s="2" t="s">
        <v>92</v>
      </c>
      <c r="AA6" s="2" t="s">
        <v>93</v>
      </c>
      <c r="AB6" s="2"/>
      <c r="AC6" s="2" t="s">
        <v>51</v>
      </c>
      <c r="AD6" s="2" t="s">
        <v>51</v>
      </c>
      <c r="AE6" s="2" t="s">
        <v>48</v>
      </c>
      <c r="AF6" s="2">
        <f t="shared" si="2"/>
        <v>45000</v>
      </c>
      <c r="AG6" s="2" t="s">
        <v>94</v>
      </c>
      <c r="AH6" s="2" t="s">
        <v>47</v>
      </c>
      <c r="AI6" s="2" t="s">
        <v>49</v>
      </c>
      <c r="AJ6" s="3">
        <v>45922</v>
      </c>
      <c r="AK6" s="2">
        <f t="shared" si="3"/>
        <v>0.99</v>
      </c>
    </row>
    <row r="7" spans="1:37" x14ac:dyDescent="0.3">
      <c r="A7" s="2" t="s">
        <v>95</v>
      </c>
      <c r="B7" s="2" t="s">
        <v>96</v>
      </c>
      <c r="C7" s="2" t="s">
        <v>58</v>
      </c>
      <c r="D7" s="2" t="s">
        <v>97</v>
      </c>
      <c r="E7" s="2" t="s">
        <v>84</v>
      </c>
      <c r="F7" s="3">
        <v>44021</v>
      </c>
      <c r="G7" s="2" t="s">
        <v>98</v>
      </c>
      <c r="H7" s="3">
        <v>44313</v>
      </c>
      <c r="I7" s="3">
        <v>44358</v>
      </c>
      <c r="J7" s="2">
        <v>60</v>
      </c>
      <c r="K7" s="2" t="s">
        <v>43</v>
      </c>
      <c r="L7" s="2" t="s">
        <v>99</v>
      </c>
      <c r="M7" s="2" t="s">
        <v>100</v>
      </c>
      <c r="N7" s="2" t="s">
        <v>91</v>
      </c>
      <c r="O7" s="2">
        <f t="shared" si="0"/>
        <v>45</v>
      </c>
      <c r="P7" s="2">
        <f t="shared" si="1"/>
        <v>15</v>
      </c>
      <c r="Q7" s="2" t="s">
        <v>41</v>
      </c>
      <c r="R7" s="2" t="s">
        <v>47</v>
      </c>
      <c r="S7" s="2" t="s">
        <v>48</v>
      </c>
      <c r="T7" s="2" t="s">
        <v>48</v>
      </c>
      <c r="U7" s="2" t="s">
        <v>48</v>
      </c>
      <c r="V7" s="2" t="s">
        <v>48</v>
      </c>
      <c r="W7" s="2" t="s">
        <v>50</v>
      </c>
      <c r="X7" s="2" t="s">
        <v>50</v>
      </c>
      <c r="Y7" s="2" t="s">
        <v>47</v>
      </c>
      <c r="Z7" s="2" t="s">
        <v>101</v>
      </c>
      <c r="AA7" s="2" t="s">
        <v>50</v>
      </c>
      <c r="AB7" s="2" t="s">
        <v>102</v>
      </c>
      <c r="AC7" s="2" t="s">
        <v>50</v>
      </c>
      <c r="AD7" s="2" t="s">
        <v>51</v>
      </c>
      <c r="AE7" s="2" t="s">
        <v>48</v>
      </c>
      <c r="AF7" s="2">
        <f t="shared" si="2"/>
        <v>22500</v>
      </c>
      <c r="AG7" s="2" t="s">
        <v>103</v>
      </c>
      <c r="AH7" s="2" t="s">
        <v>47</v>
      </c>
      <c r="AI7" s="2" t="s">
        <v>55</v>
      </c>
      <c r="AJ7" s="3">
        <v>44363</v>
      </c>
      <c r="AK7" s="2">
        <f t="shared" si="3"/>
        <v>0.92</v>
      </c>
    </row>
    <row r="8" spans="1:37" x14ac:dyDescent="0.3">
      <c r="A8" s="2" t="s">
        <v>104</v>
      </c>
      <c r="B8" s="2" t="s">
        <v>105</v>
      </c>
      <c r="C8" s="2" t="s">
        <v>39</v>
      </c>
      <c r="D8" s="2" t="s">
        <v>89</v>
      </c>
      <c r="E8" s="2" t="s">
        <v>60</v>
      </c>
      <c r="F8" s="3">
        <v>43504</v>
      </c>
      <c r="G8" s="2" t="s">
        <v>79</v>
      </c>
      <c r="H8" s="3">
        <v>43782</v>
      </c>
      <c r="I8" s="3">
        <v>43782</v>
      </c>
      <c r="J8" s="2">
        <v>15</v>
      </c>
      <c r="K8" s="2" t="s">
        <v>80</v>
      </c>
      <c r="L8" s="2" t="s">
        <v>106</v>
      </c>
      <c r="M8" s="2"/>
      <c r="N8" s="2" t="s">
        <v>46</v>
      </c>
      <c r="O8" s="2">
        <f t="shared" si="0"/>
        <v>0</v>
      </c>
      <c r="P8" s="2">
        <f t="shared" si="1"/>
        <v>15</v>
      </c>
      <c r="Q8" s="2" t="s">
        <v>107</v>
      </c>
      <c r="R8" s="2" t="s">
        <v>47</v>
      </c>
      <c r="S8" s="2" t="s">
        <v>48</v>
      </c>
      <c r="T8" s="2" t="s">
        <v>48</v>
      </c>
      <c r="U8" s="2" t="s">
        <v>49</v>
      </c>
      <c r="V8" s="2" t="s">
        <v>48</v>
      </c>
      <c r="W8" s="2" t="s">
        <v>50</v>
      </c>
      <c r="X8" s="2" t="s">
        <v>51</v>
      </c>
      <c r="Y8" s="2" t="s">
        <v>50</v>
      </c>
      <c r="Z8" s="2" t="s">
        <v>108</v>
      </c>
      <c r="AA8" s="2" t="s">
        <v>51</v>
      </c>
      <c r="AB8" s="2"/>
      <c r="AC8" s="2" t="s">
        <v>50</v>
      </c>
      <c r="AD8" s="2" t="s">
        <v>50</v>
      </c>
      <c r="AE8" s="2" t="s">
        <v>49</v>
      </c>
      <c r="AF8" s="2">
        <f t="shared" si="2"/>
        <v>22500</v>
      </c>
      <c r="AG8" s="2" t="s">
        <v>109</v>
      </c>
      <c r="AH8" s="2" t="s">
        <v>110</v>
      </c>
      <c r="AI8" s="2" t="s">
        <v>55</v>
      </c>
      <c r="AJ8" s="3">
        <v>43787</v>
      </c>
      <c r="AK8" s="2">
        <f t="shared" si="3"/>
        <v>0.76</v>
      </c>
    </row>
    <row r="9" spans="1:37" x14ac:dyDescent="0.3">
      <c r="A9" s="2" t="s">
        <v>111</v>
      </c>
      <c r="B9" s="2" t="s">
        <v>112</v>
      </c>
      <c r="C9" s="2" t="s">
        <v>113</v>
      </c>
      <c r="D9" s="2" t="s">
        <v>114</v>
      </c>
      <c r="E9" s="2" t="s">
        <v>41</v>
      </c>
      <c r="F9" s="3">
        <v>44833</v>
      </c>
      <c r="G9" s="2" t="s">
        <v>79</v>
      </c>
      <c r="H9" s="3">
        <v>46001</v>
      </c>
      <c r="I9" s="3">
        <v>46001</v>
      </c>
      <c r="J9" s="2">
        <v>15</v>
      </c>
      <c r="K9" s="2" t="s">
        <v>43</v>
      </c>
      <c r="L9" s="2" t="s">
        <v>115</v>
      </c>
      <c r="M9" s="2" t="s">
        <v>100</v>
      </c>
      <c r="N9" s="2" t="s">
        <v>116</v>
      </c>
      <c r="O9" s="2">
        <f t="shared" si="0"/>
        <v>0</v>
      </c>
      <c r="P9" s="2">
        <f t="shared" si="1"/>
        <v>15</v>
      </c>
      <c r="Q9" s="2" t="s">
        <v>60</v>
      </c>
      <c r="R9" s="2" t="s">
        <v>47</v>
      </c>
      <c r="S9" s="2" t="s">
        <v>48</v>
      </c>
      <c r="T9" s="2" t="s">
        <v>48</v>
      </c>
      <c r="U9" s="2" t="s">
        <v>47</v>
      </c>
      <c r="V9" s="2" t="s">
        <v>49</v>
      </c>
      <c r="W9" s="2" t="s">
        <v>50</v>
      </c>
      <c r="X9" s="2" t="s">
        <v>50</v>
      </c>
      <c r="Y9" s="2" t="s">
        <v>50</v>
      </c>
      <c r="Z9" s="2" t="s">
        <v>117</v>
      </c>
      <c r="AA9" s="2" t="s">
        <v>50</v>
      </c>
      <c r="AB9" s="2" t="s">
        <v>102</v>
      </c>
      <c r="AC9" s="2" t="s">
        <v>50</v>
      </c>
      <c r="AD9" s="2" t="s">
        <v>50</v>
      </c>
      <c r="AE9" s="2" t="s">
        <v>49</v>
      </c>
      <c r="AF9" s="2">
        <f t="shared" si="2"/>
        <v>22500</v>
      </c>
      <c r="AG9" s="2" t="s">
        <v>118</v>
      </c>
      <c r="AH9" s="2" t="s">
        <v>47</v>
      </c>
      <c r="AI9" s="2" t="s">
        <v>55</v>
      </c>
      <c r="AJ9" s="3">
        <v>46004</v>
      </c>
      <c r="AK9" s="2">
        <f t="shared" si="3"/>
        <v>3.2</v>
      </c>
    </row>
    <row r="10" spans="1:37" x14ac:dyDescent="0.3">
      <c r="A10" s="2" t="s">
        <v>119</v>
      </c>
      <c r="B10" s="2" t="s">
        <v>120</v>
      </c>
      <c r="C10" s="2" t="s">
        <v>58</v>
      </c>
      <c r="D10" s="2" t="s">
        <v>97</v>
      </c>
      <c r="E10" s="2" t="s">
        <v>121</v>
      </c>
      <c r="F10" s="3">
        <v>44722</v>
      </c>
      <c r="G10" s="2" t="s">
        <v>42</v>
      </c>
      <c r="H10" s="3">
        <v>45020</v>
      </c>
      <c r="I10" s="3">
        <v>45035</v>
      </c>
      <c r="J10" s="2">
        <v>30</v>
      </c>
      <c r="K10" s="2" t="s">
        <v>43</v>
      </c>
      <c r="L10" s="2" t="s">
        <v>106</v>
      </c>
      <c r="M10" s="2" t="s">
        <v>122</v>
      </c>
      <c r="N10" s="2" t="s">
        <v>91</v>
      </c>
      <c r="O10" s="2">
        <f t="shared" si="0"/>
        <v>15</v>
      </c>
      <c r="P10" s="2">
        <f t="shared" si="1"/>
        <v>15</v>
      </c>
      <c r="Q10" s="2" t="s">
        <v>90</v>
      </c>
      <c r="R10" s="2" t="s">
        <v>47</v>
      </c>
      <c r="S10" s="2" t="s">
        <v>47</v>
      </c>
      <c r="T10" s="2" t="s">
        <v>48</v>
      </c>
      <c r="U10" s="2" t="s">
        <v>48</v>
      </c>
      <c r="V10" s="2" t="s">
        <v>48</v>
      </c>
      <c r="W10" s="2" t="s">
        <v>50</v>
      </c>
      <c r="X10" s="2" t="s">
        <v>50</v>
      </c>
      <c r="Y10" s="2" t="s">
        <v>47</v>
      </c>
      <c r="Z10" s="2" t="s">
        <v>123</v>
      </c>
      <c r="AA10" s="2" t="s">
        <v>50</v>
      </c>
      <c r="AB10" s="2" t="s">
        <v>53</v>
      </c>
      <c r="AC10" s="2" t="s">
        <v>51</v>
      </c>
      <c r="AD10" s="2" t="s">
        <v>50</v>
      </c>
      <c r="AE10" s="2" t="s">
        <v>66</v>
      </c>
      <c r="AF10" s="2">
        <f t="shared" si="2"/>
        <v>22500</v>
      </c>
      <c r="AG10" s="2" t="s">
        <v>124</v>
      </c>
      <c r="AH10" s="2" t="s">
        <v>47</v>
      </c>
      <c r="AI10" s="2" t="s">
        <v>55</v>
      </c>
      <c r="AJ10" s="2"/>
      <c r="AK10" s="2">
        <f t="shared" si="3"/>
        <v>0.86</v>
      </c>
    </row>
    <row r="11" spans="1:37" x14ac:dyDescent="0.3">
      <c r="A11" s="2" t="s">
        <v>125</v>
      </c>
      <c r="B11" s="2" t="s">
        <v>126</v>
      </c>
      <c r="C11" s="2" t="s">
        <v>127</v>
      </c>
      <c r="D11" s="2" t="s">
        <v>128</v>
      </c>
      <c r="E11" s="2" t="s">
        <v>121</v>
      </c>
      <c r="F11" s="3">
        <v>43934</v>
      </c>
      <c r="G11" s="2" t="s">
        <v>42</v>
      </c>
      <c r="H11" s="3">
        <v>45045</v>
      </c>
      <c r="I11" s="3">
        <v>45080</v>
      </c>
      <c r="J11" s="2">
        <v>30</v>
      </c>
      <c r="K11" s="2" t="s">
        <v>43</v>
      </c>
      <c r="L11" s="2" t="s">
        <v>44</v>
      </c>
      <c r="M11" s="2" t="s">
        <v>82</v>
      </c>
      <c r="N11" s="2"/>
      <c r="O11" s="2">
        <f t="shared" si="0"/>
        <v>35</v>
      </c>
      <c r="P11" s="2">
        <f t="shared" si="1"/>
        <v>0</v>
      </c>
      <c r="Q11" s="2" t="s">
        <v>121</v>
      </c>
      <c r="R11" s="2" t="s">
        <v>47</v>
      </c>
      <c r="S11" s="2" t="s">
        <v>48</v>
      </c>
      <c r="T11" s="2" t="s">
        <v>48</v>
      </c>
      <c r="U11" s="2" t="s">
        <v>48</v>
      </c>
      <c r="V11" s="2" t="s">
        <v>48</v>
      </c>
      <c r="W11" s="2" t="s">
        <v>49</v>
      </c>
      <c r="X11" s="2" t="s">
        <v>50</v>
      </c>
      <c r="Y11" s="2" t="s">
        <v>47</v>
      </c>
      <c r="Z11" s="2" t="s">
        <v>129</v>
      </c>
      <c r="AA11" s="2" t="s">
        <v>93</v>
      </c>
      <c r="AB11" s="2"/>
      <c r="AC11" s="2" t="s">
        <v>50</v>
      </c>
      <c r="AD11" s="2" t="s">
        <v>50</v>
      </c>
      <c r="AE11" s="2" t="s">
        <v>48</v>
      </c>
      <c r="AF11" s="2">
        <f t="shared" si="2"/>
        <v>0</v>
      </c>
      <c r="AG11" s="2" t="s">
        <v>130</v>
      </c>
      <c r="AH11" s="2" t="s">
        <v>47</v>
      </c>
      <c r="AI11" s="2" t="s">
        <v>74</v>
      </c>
      <c r="AJ11" s="2"/>
      <c r="AK11" s="2">
        <f t="shared" si="3"/>
        <v>3.14</v>
      </c>
    </row>
    <row r="12" spans="1:37" x14ac:dyDescent="0.3">
      <c r="A12" s="2" t="s">
        <v>131</v>
      </c>
      <c r="B12" s="2" t="s">
        <v>132</v>
      </c>
      <c r="C12" s="2" t="s">
        <v>113</v>
      </c>
      <c r="D12" s="2" t="s">
        <v>133</v>
      </c>
      <c r="E12" s="2" t="s">
        <v>121</v>
      </c>
      <c r="F12" s="3">
        <v>44123</v>
      </c>
      <c r="G12" s="2" t="s">
        <v>61</v>
      </c>
      <c r="H12" s="3">
        <v>44574</v>
      </c>
      <c r="I12" s="3">
        <v>44574</v>
      </c>
      <c r="J12" s="2">
        <v>15</v>
      </c>
      <c r="K12" s="2" t="s">
        <v>134</v>
      </c>
      <c r="L12" s="2" t="s">
        <v>63</v>
      </c>
      <c r="M12" s="2" t="s">
        <v>45</v>
      </c>
      <c r="N12" s="2"/>
      <c r="O12" s="2">
        <f t="shared" si="0"/>
        <v>0</v>
      </c>
      <c r="P12" s="2">
        <f t="shared" si="1"/>
        <v>15</v>
      </c>
      <c r="Q12" s="2" t="s">
        <v>70</v>
      </c>
      <c r="R12" s="2" t="s">
        <v>47</v>
      </c>
      <c r="S12" s="2" t="s">
        <v>48</v>
      </c>
      <c r="T12" s="2" t="s">
        <v>49</v>
      </c>
      <c r="U12" s="2" t="s">
        <v>48</v>
      </c>
      <c r="V12" s="2" t="s">
        <v>48</v>
      </c>
      <c r="W12" s="2" t="s">
        <v>49</v>
      </c>
      <c r="X12" s="2" t="s">
        <v>51</v>
      </c>
      <c r="Y12" s="2" t="s">
        <v>51</v>
      </c>
      <c r="Z12" s="2" t="s">
        <v>135</v>
      </c>
      <c r="AA12" s="2" t="s">
        <v>50</v>
      </c>
      <c r="AB12" s="2"/>
      <c r="AC12" s="2" t="s">
        <v>51</v>
      </c>
      <c r="AD12" s="2" t="s">
        <v>50</v>
      </c>
      <c r="AE12" s="2" t="s">
        <v>49</v>
      </c>
      <c r="AF12" s="2">
        <f t="shared" si="2"/>
        <v>22500</v>
      </c>
      <c r="AG12" s="2" t="s">
        <v>136</v>
      </c>
      <c r="AH12" s="2" t="s">
        <v>47</v>
      </c>
      <c r="AI12" s="2" t="s">
        <v>49</v>
      </c>
      <c r="AJ12" s="3">
        <v>44579</v>
      </c>
      <c r="AK12" s="2">
        <f t="shared" si="3"/>
        <v>1.23</v>
      </c>
    </row>
    <row r="13" spans="1:37" x14ac:dyDescent="0.3">
      <c r="A13" s="2" t="s">
        <v>137</v>
      </c>
      <c r="B13" s="2" t="s">
        <v>138</v>
      </c>
      <c r="C13" s="2" t="s">
        <v>139</v>
      </c>
      <c r="D13" s="2" t="s">
        <v>140</v>
      </c>
      <c r="E13" s="2" t="s">
        <v>41</v>
      </c>
      <c r="F13" s="3">
        <v>43385</v>
      </c>
      <c r="G13" s="2" t="s">
        <v>61</v>
      </c>
      <c r="H13" s="3">
        <v>44558</v>
      </c>
      <c r="I13" s="3">
        <v>44573</v>
      </c>
      <c r="J13" s="2">
        <v>30</v>
      </c>
      <c r="K13" s="2" t="s">
        <v>80</v>
      </c>
      <c r="L13" s="2" t="s">
        <v>63</v>
      </c>
      <c r="M13" s="2" t="s">
        <v>141</v>
      </c>
      <c r="N13" s="2" t="s">
        <v>91</v>
      </c>
      <c r="O13" s="2">
        <f t="shared" si="0"/>
        <v>15</v>
      </c>
      <c r="P13" s="2">
        <f t="shared" si="1"/>
        <v>15</v>
      </c>
      <c r="Q13" s="2" t="s">
        <v>142</v>
      </c>
      <c r="R13" s="2" t="s">
        <v>47</v>
      </c>
      <c r="S13" s="2" t="s">
        <v>48</v>
      </c>
      <c r="T13" s="2" t="s">
        <v>48</v>
      </c>
      <c r="U13" s="2" t="s">
        <v>47</v>
      </c>
      <c r="V13" s="2" t="s">
        <v>48</v>
      </c>
      <c r="W13" s="2" t="s">
        <v>50</v>
      </c>
      <c r="X13" s="2" t="s">
        <v>50</v>
      </c>
      <c r="Y13" s="2" t="s">
        <v>47</v>
      </c>
      <c r="Z13" s="2" t="s">
        <v>143</v>
      </c>
      <c r="AA13" s="2" t="s">
        <v>51</v>
      </c>
      <c r="AB13" s="2" t="s">
        <v>53</v>
      </c>
      <c r="AC13" s="2" t="s">
        <v>50</v>
      </c>
      <c r="AD13" s="2" t="s">
        <v>51</v>
      </c>
      <c r="AE13" s="2" t="s">
        <v>48</v>
      </c>
      <c r="AF13" s="2">
        <f t="shared" si="2"/>
        <v>22500</v>
      </c>
      <c r="AG13" s="2" t="s">
        <v>144</v>
      </c>
      <c r="AH13" s="2" t="s">
        <v>145</v>
      </c>
      <c r="AI13" s="2" t="s">
        <v>55</v>
      </c>
      <c r="AJ13" s="3">
        <v>44588</v>
      </c>
      <c r="AK13" s="2">
        <f t="shared" si="3"/>
        <v>3.25</v>
      </c>
    </row>
    <row r="14" spans="1:37" x14ac:dyDescent="0.3">
      <c r="A14" s="2" t="s">
        <v>146</v>
      </c>
      <c r="B14" s="2" t="s">
        <v>147</v>
      </c>
      <c r="C14" s="2" t="s">
        <v>148</v>
      </c>
      <c r="D14" s="2" t="s">
        <v>149</v>
      </c>
      <c r="E14" s="2" t="s">
        <v>60</v>
      </c>
      <c r="F14" s="3">
        <v>43611</v>
      </c>
      <c r="G14" s="2" t="s">
        <v>61</v>
      </c>
      <c r="H14" s="3">
        <v>44871</v>
      </c>
      <c r="I14" s="3">
        <v>44906</v>
      </c>
      <c r="J14" s="2">
        <v>30</v>
      </c>
      <c r="K14" s="2" t="s">
        <v>43</v>
      </c>
      <c r="L14" s="2" t="s">
        <v>63</v>
      </c>
      <c r="M14" s="2" t="s">
        <v>150</v>
      </c>
      <c r="N14" s="2" t="s">
        <v>46</v>
      </c>
      <c r="O14" s="2">
        <f t="shared" si="0"/>
        <v>35</v>
      </c>
      <c r="P14" s="2">
        <f t="shared" si="1"/>
        <v>0</v>
      </c>
      <c r="Q14" s="2" t="s">
        <v>107</v>
      </c>
      <c r="R14" s="2" t="s">
        <v>47</v>
      </c>
      <c r="S14" s="2" t="s">
        <v>49</v>
      </c>
      <c r="T14" s="2" t="s">
        <v>48</v>
      </c>
      <c r="U14" s="2" t="s">
        <v>47</v>
      </c>
      <c r="V14" s="2" t="s">
        <v>47</v>
      </c>
      <c r="W14" s="2" t="s">
        <v>49</v>
      </c>
      <c r="X14" s="2" t="s">
        <v>51</v>
      </c>
      <c r="Y14" s="2" t="s">
        <v>50</v>
      </c>
      <c r="Z14" s="2" t="s">
        <v>151</v>
      </c>
      <c r="AA14" s="2" t="s">
        <v>50</v>
      </c>
      <c r="AB14" s="2"/>
      <c r="AC14" s="2" t="s">
        <v>51</v>
      </c>
      <c r="AD14" s="2" t="s">
        <v>51</v>
      </c>
      <c r="AE14" s="2" t="s">
        <v>49</v>
      </c>
      <c r="AF14" s="2">
        <f t="shared" si="2"/>
        <v>0</v>
      </c>
      <c r="AG14" s="2" t="s">
        <v>152</v>
      </c>
      <c r="AH14" s="2" t="s">
        <v>47</v>
      </c>
      <c r="AI14" s="2" t="s">
        <v>74</v>
      </c>
      <c r="AJ14" s="3">
        <v>44913</v>
      </c>
      <c r="AK14" s="2">
        <f t="shared" si="3"/>
        <v>3.55</v>
      </c>
    </row>
    <row r="15" spans="1:37" x14ac:dyDescent="0.3">
      <c r="A15" s="2" t="s">
        <v>153</v>
      </c>
      <c r="B15" s="2" t="s">
        <v>154</v>
      </c>
      <c r="C15" s="2" t="s">
        <v>113</v>
      </c>
      <c r="D15" s="2" t="s">
        <v>155</v>
      </c>
      <c r="E15" s="2" t="s">
        <v>142</v>
      </c>
      <c r="F15" s="3">
        <v>44063</v>
      </c>
      <c r="G15" s="2" t="s">
        <v>61</v>
      </c>
      <c r="H15" s="3">
        <v>45364</v>
      </c>
      <c r="I15" s="3">
        <v>45379</v>
      </c>
      <c r="J15" s="2">
        <v>15</v>
      </c>
      <c r="K15" s="2" t="s">
        <v>134</v>
      </c>
      <c r="L15" s="2" t="s">
        <v>156</v>
      </c>
      <c r="M15" s="2" t="s">
        <v>45</v>
      </c>
      <c r="N15" s="2" t="s">
        <v>83</v>
      </c>
      <c r="O15" s="2">
        <f t="shared" si="0"/>
        <v>15</v>
      </c>
      <c r="P15" s="2">
        <f t="shared" si="1"/>
        <v>0</v>
      </c>
      <c r="Q15" s="2" t="s">
        <v>142</v>
      </c>
      <c r="R15" s="2" t="s">
        <v>47</v>
      </c>
      <c r="S15" s="2" t="s">
        <v>49</v>
      </c>
      <c r="T15" s="2" t="s">
        <v>49</v>
      </c>
      <c r="U15" s="2" t="s">
        <v>47</v>
      </c>
      <c r="V15" s="2" t="s">
        <v>48</v>
      </c>
      <c r="W15" s="2" t="s">
        <v>51</v>
      </c>
      <c r="X15" s="2" t="s">
        <v>51</v>
      </c>
      <c r="Y15" s="2" t="s">
        <v>47</v>
      </c>
      <c r="Z15" s="2" t="s">
        <v>157</v>
      </c>
      <c r="AA15" s="2" t="s">
        <v>50</v>
      </c>
      <c r="AB15" s="2"/>
      <c r="AC15" s="2" t="s">
        <v>50</v>
      </c>
      <c r="AD15" s="2" t="s">
        <v>51</v>
      </c>
      <c r="AE15" s="2" t="s">
        <v>48</v>
      </c>
      <c r="AF15" s="2">
        <f t="shared" si="2"/>
        <v>0</v>
      </c>
      <c r="AG15" s="2" t="s">
        <v>158</v>
      </c>
      <c r="AH15" s="2" t="s">
        <v>145</v>
      </c>
      <c r="AI15" s="2" t="s">
        <v>55</v>
      </c>
      <c r="AJ15" s="2"/>
      <c r="AK15" s="2">
        <f t="shared" si="3"/>
        <v>3.6</v>
      </c>
    </row>
    <row r="16" spans="1:37" x14ac:dyDescent="0.3">
      <c r="A16" s="2" t="s">
        <v>159</v>
      </c>
      <c r="B16" s="2" t="s">
        <v>160</v>
      </c>
      <c r="C16" s="2" t="s">
        <v>148</v>
      </c>
      <c r="D16" s="2" t="s">
        <v>149</v>
      </c>
      <c r="E16" s="2" t="s">
        <v>142</v>
      </c>
      <c r="F16" s="3">
        <v>44913</v>
      </c>
      <c r="G16" s="2" t="s">
        <v>79</v>
      </c>
      <c r="H16" s="3">
        <v>46197</v>
      </c>
      <c r="I16" s="3">
        <v>46217</v>
      </c>
      <c r="J16" s="2">
        <v>15</v>
      </c>
      <c r="K16" s="2" t="s">
        <v>43</v>
      </c>
      <c r="L16" s="2" t="s">
        <v>99</v>
      </c>
      <c r="M16" s="2"/>
      <c r="N16" s="2" t="s">
        <v>83</v>
      </c>
      <c r="O16" s="2">
        <f t="shared" si="0"/>
        <v>20</v>
      </c>
      <c r="P16" s="2">
        <f t="shared" si="1"/>
        <v>0</v>
      </c>
      <c r="Q16" s="2" t="s">
        <v>121</v>
      </c>
      <c r="R16" s="2" t="s">
        <v>47</v>
      </c>
      <c r="S16" s="2" t="s">
        <v>48</v>
      </c>
      <c r="T16" s="2" t="s">
        <v>48</v>
      </c>
      <c r="U16" s="2" t="s">
        <v>47</v>
      </c>
      <c r="V16" s="2" t="s">
        <v>49</v>
      </c>
      <c r="W16" s="2" t="s">
        <v>50</v>
      </c>
      <c r="X16" s="2" t="s">
        <v>49</v>
      </c>
      <c r="Y16" s="2" t="s">
        <v>47</v>
      </c>
      <c r="Z16" s="2" t="s">
        <v>161</v>
      </c>
      <c r="AA16" s="2" t="s">
        <v>93</v>
      </c>
      <c r="AB16" s="2" t="s">
        <v>162</v>
      </c>
      <c r="AC16" s="2" t="s">
        <v>50</v>
      </c>
      <c r="AD16" s="2" t="s">
        <v>51</v>
      </c>
      <c r="AE16" s="2" t="s">
        <v>66</v>
      </c>
      <c r="AF16" s="2">
        <f t="shared" si="2"/>
        <v>0</v>
      </c>
      <c r="AG16" s="2" t="s">
        <v>163</v>
      </c>
      <c r="AH16" s="2" t="s">
        <v>47</v>
      </c>
      <c r="AI16" s="2" t="s">
        <v>55</v>
      </c>
      <c r="AJ16" s="3">
        <v>46222</v>
      </c>
      <c r="AK16" s="2">
        <f t="shared" si="3"/>
        <v>3.57</v>
      </c>
    </row>
    <row r="17" spans="1:37" x14ac:dyDescent="0.3">
      <c r="A17" s="2" t="s">
        <v>164</v>
      </c>
      <c r="B17" s="2" t="s">
        <v>165</v>
      </c>
      <c r="C17" s="2" t="s">
        <v>139</v>
      </c>
      <c r="D17" s="2" t="s">
        <v>166</v>
      </c>
      <c r="E17" s="2" t="s">
        <v>70</v>
      </c>
      <c r="F17" s="3">
        <v>44456</v>
      </c>
      <c r="G17" s="2" t="s">
        <v>79</v>
      </c>
      <c r="H17" s="3">
        <v>45597</v>
      </c>
      <c r="I17" s="3">
        <v>45597</v>
      </c>
      <c r="J17" s="2">
        <v>15</v>
      </c>
      <c r="K17" s="2" t="s">
        <v>43</v>
      </c>
      <c r="L17" s="2" t="s">
        <v>167</v>
      </c>
      <c r="M17" s="2" t="s">
        <v>100</v>
      </c>
      <c r="N17" s="2"/>
      <c r="O17" s="2">
        <f t="shared" si="0"/>
        <v>0</v>
      </c>
      <c r="P17" s="2">
        <f t="shared" si="1"/>
        <v>15</v>
      </c>
      <c r="Q17" s="2" t="s">
        <v>107</v>
      </c>
      <c r="R17" s="2" t="s">
        <v>47</v>
      </c>
      <c r="S17" s="2" t="s">
        <v>49</v>
      </c>
      <c r="T17" s="2" t="s">
        <v>48</v>
      </c>
      <c r="U17" s="2" t="s">
        <v>48</v>
      </c>
      <c r="V17" s="2" t="s">
        <v>48</v>
      </c>
      <c r="W17" s="2" t="s">
        <v>51</v>
      </c>
      <c r="X17" s="2" t="s">
        <v>51</v>
      </c>
      <c r="Y17" s="2" t="s">
        <v>51</v>
      </c>
      <c r="Z17" s="2" t="s">
        <v>168</v>
      </c>
      <c r="AA17" s="2" t="s">
        <v>50</v>
      </c>
      <c r="AB17" s="2" t="s">
        <v>162</v>
      </c>
      <c r="AC17" s="2" t="s">
        <v>51</v>
      </c>
      <c r="AD17" s="2" t="s">
        <v>51</v>
      </c>
      <c r="AE17" s="2" t="s">
        <v>48</v>
      </c>
      <c r="AF17" s="2">
        <f t="shared" si="2"/>
        <v>22500</v>
      </c>
      <c r="AG17" s="2" t="s">
        <v>169</v>
      </c>
      <c r="AH17" s="2" t="s">
        <v>145</v>
      </c>
      <c r="AI17" s="2" t="s">
        <v>55</v>
      </c>
      <c r="AJ17" s="3">
        <v>45607</v>
      </c>
      <c r="AK17" s="2">
        <f t="shared" si="3"/>
        <v>3.12</v>
      </c>
    </row>
    <row r="18" spans="1:37" x14ac:dyDescent="0.3">
      <c r="A18" s="2" t="s">
        <v>170</v>
      </c>
      <c r="B18" s="2" t="s">
        <v>171</v>
      </c>
      <c r="C18" s="2" t="s">
        <v>172</v>
      </c>
      <c r="D18" s="2" t="s">
        <v>173</v>
      </c>
      <c r="E18" s="2" t="s">
        <v>41</v>
      </c>
      <c r="F18" s="3">
        <v>44856</v>
      </c>
      <c r="G18" s="2" t="s">
        <v>98</v>
      </c>
      <c r="H18" s="3">
        <v>45163</v>
      </c>
      <c r="I18" s="3">
        <v>45193</v>
      </c>
      <c r="J18" s="2">
        <v>60</v>
      </c>
      <c r="K18" s="2" t="s">
        <v>43</v>
      </c>
      <c r="L18" s="2" t="s">
        <v>115</v>
      </c>
      <c r="M18" s="2"/>
      <c r="N18" s="2" t="s">
        <v>174</v>
      </c>
      <c r="O18" s="2">
        <f t="shared" si="0"/>
        <v>30</v>
      </c>
      <c r="P18" s="2">
        <f t="shared" si="1"/>
        <v>30</v>
      </c>
      <c r="Q18" s="2" t="s">
        <v>60</v>
      </c>
      <c r="R18" s="2" t="s">
        <v>47</v>
      </c>
      <c r="S18" s="2" t="s">
        <v>49</v>
      </c>
      <c r="T18" s="2" t="s">
        <v>48</v>
      </c>
      <c r="U18" s="2" t="s">
        <v>49</v>
      </c>
      <c r="V18" s="2" t="s">
        <v>48</v>
      </c>
      <c r="W18" s="2" t="s">
        <v>50</v>
      </c>
      <c r="X18" s="2" t="s">
        <v>51</v>
      </c>
      <c r="Y18" s="2" t="s">
        <v>50</v>
      </c>
      <c r="Z18" s="2" t="s">
        <v>175</v>
      </c>
      <c r="AA18" s="2" t="s">
        <v>50</v>
      </c>
      <c r="AB18" s="2"/>
      <c r="AC18" s="2" t="s">
        <v>50</v>
      </c>
      <c r="AD18" s="2" t="s">
        <v>50</v>
      </c>
      <c r="AE18" s="2" t="s">
        <v>48</v>
      </c>
      <c r="AF18" s="2">
        <f t="shared" si="2"/>
        <v>45000</v>
      </c>
      <c r="AG18" s="2" t="s">
        <v>136</v>
      </c>
      <c r="AH18" s="2" t="s">
        <v>47</v>
      </c>
      <c r="AI18" s="2" t="s">
        <v>55</v>
      </c>
      <c r="AJ18" s="3">
        <v>45198</v>
      </c>
      <c r="AK18" s="2">
        <f t="shared" si="3"/>
        <v>0.92</v>
      </c>
    </row>
    <row r="19" spans="1:37" x14ac:dyDescent="0.3">
      <c r="A19" s="2" t="s">
        <v>176</v>
      </c>
      <c r="B19" s="2" t="s">
        <v>177</v>
      </c>
      <c r="C19" s="2" t="s">
        <v>113</v>
      </c>
      <c r="D19" s="2" t="s">
        <v>114</v>
      </c>
      <c r="E19" s="2" t="s">
        <v>142</v>
      </c>
      <c r="F19" s="3">
        <v>43788</v>
      </c>
      <c r="G19" s="2" t="s">
        <v>61</v>
      </c>
      <c r="H19" s="3">
        <v>44287</v>
      </c>
      <c r="I19" s="3">
        <v>44317</v>
      </c>
      <c r="J19" s="2">
        <v>30</v>
      </c>
      <c r="K19" s="2" t="s">
        <v>62</v>
      </c>
      <c r="L19" s="2" t="s">
        <v>106</v>
      </c>
      <c r="M19" s="2" t="s">
        <v>82</v>
      </c>
      <c r="N19" s="2" t="s">
        <v>83</v>
      </c>
      <c r="O19" s="2">
        <f t="shared" si="0"/>
        <v>30</v>
      </c>
      <c r="P19" s="2">
        <f t="shared" si="1"/>
        <v>0</v>
      </c>
      <c r="Q19" s="2" t="s">
        <v>90</v>
      </c>
      <c r="R19" s="2" t="s">
        <v>47</v>
      </c>
      <c r="S19" s="2" t="s">
        <v>48</v>
      </c>
      <c r="T19" s="2" t="s">
        <v>47</v>
      </c>
      <c r="U19" s="2" t="s">
        <v>48</v>
      </c>
      <c r="V19" s="2" t="s">
        <v>48</v>
      </c>
      <c r="W19" s="2" t="s">
        <v>49</v>
      </c>
      <c r="X19" s="2" t="s">
        <v>50</v>
      </c>
      <c r="Y19" s="2" t="s">
        <v>50</v>
      </c>
      <c r="Z19" s="2" t="s">
        <v>178</v>
      </c>
      <c r="AA19" s="2" t="s">
        <v>51</v>
      </c>
      <c r="AB19" s="2" t="s">
        <v>162</v>
      </c>
      <c r="AC19" s="2" t="s">
        <v>50</v>
      </c>
      <c r="AD19" s="2" t="s">
        <v>51</v>
      </c>
      <c r="AE19" s="2" t="s">
        <v>48</v>
      </c>
      <c r="AF19" s="2">
        <f t="shared" si="2"/>
        <v>0</v>
      </c>
      <c r="AG19" s="2" t="s">
        <v>179</v>
      </c>
      <c r="AH19" s="2" t="s">
        <v>110</v>
      </c>
      <c r="AI19" s="2" t="s">
        <v>49</v>
      </c>
      <c r="AJ19" s="3">
        <v>44324</v>
      </c>
      <c r="AK19" s="2">
        <f t="shared" si="3"/>
        <v>1.45</v>
      </c>
    </row>
    <row r="20" spans="1:37" x14ac:dyDescent="0.3">
      <c r="A20" s="2" t="s">
        <v>180</v>
      </c>
      <c r="B20" s="2" t="s">
        <v>181</v>
      </c>
      <c r="C20" s="2" t="s">
        <v>39</v>
      </c>
      <c r="D20" s="2" t="s">
        <v>89</v>
      </c>
      <c r="E20" s="2" t="s">
        <v>70</v>
      </c>
      <c r="F20" s="3">
        <v>45005</v>
      </c>
      <c r="G20" s="2" t="s">
        <v>61</v>
      </c>
      <c r="H20" s="3">
        <v>45927</v>
      </c>
      <c r="I20" s="3">
        <v>45962</v>
      </c>
      <c r="J20" s="2">
        <v>30</v>
      </c>
      <c r="K20" s="2" t="s">
        <v>43</v>
      </c>
      <c r="L20" s="2" t="s">
        <v>167</v>
      </c>
      <c r="M20" s="2" t="s">
        <v>64</v>
      </c>
      <c r="N20" s="2" t="s">
        <v>83</v>
      </c>
      <c r="O20" s="2">
        <f t="shared" si="0"/>
        <v>35</v>
      </c>
      <c r="P20" s="2">
        <f t="shared" si="1"/>
        <v>0</v>
      </c>
      <c r="Q20" s="2" t="s">
        <v>90</v>
      </c>
      <c r="R20" s="2" t="s">
        <v>47</v>
      </c>
      <c r="S20" s="2" t="s">
        <v>49</v>
      </c>
      <c r="T20" s="2" t="s">
        <v>47</v>
      </c>
      <c r="U20" s="2" t="s">
        <v>47</v>
      </c>
      <c r="V20" s="2" t="s">
        <v>49</v>
      </c>
      <c r="W20" s="2" t="s">
        <v>49</v>
      </c>
      <c r="X20" s="2" t="s">
        <v>50</v>
      </c>
      <c r="Y20" s="2" t="s">
        <v>47</v>
      </c>
      <c r="Z20" s="2" t="s">
        <v>182</v>
      </c>
      <c r="AA20" s="2" t="s">
        <v>50</v>
      </c>
      <c r="AB20" s="2" t="s">
        <v>53</v>
      </c>
      <c r="AC20" s="2" t="s">
        <v>50</v>
      </c>
      <c r="AD20" s="2" t="s">
        <v>51</v>
      </c>
      <c r="AE20" s="2" t="s">
        <v>66</v>
      </c>
      <c r="AF20" s="2">
        <f t="shared" si="2"/>
        <v>0</v>
      </c>
      <c r="AG20" s="2" t="s">
        <v>183</v>
      </c>
      <c r="AH20" s="2" t="s">
        <v>47</v>
      </c>
      <c r="AI20" s="2" t="s">
        <v>55</v>
      </c>
      <c r="AJ20" s="3">
        <v>45965</v>
      </c>
      <c r="AK20" s="2">
        <f t="shared" si="3"/>
        <v>2.62</v>
      </c>
    </row>
    <row r="21" spans="1:37" x14ac:dyDescent="0.3">
      <c r="A21" s="2" t="s">
        <v>184</v>
      </c>
      <c r="B21" s="2" t="s">
        <v>185</v>
      </c>
      <c r="C21" s="2" t="s">
        <v>148</v>
      </c>
      <c r="D21" s="2" t="s">
        <v>149</v>
      </c>
      <c r="E21" s="2" t="s">
        <v>142</v>
      </c>
      <c r="F21" s="3">
        <v>45051</v>
      </c>
      <c r="G21" s="2" t="s">
        <v>79</v>
      </c>
      <c r="H21" s="3">
        <v>46086</v>
      </c>
      <c r="I21" s="3">
        <v>46086</v>
      </c>
      <c r="J21" s="2">
        <v>15</v>
      </c>
      <c r="K21" s="2" t="s">
        <v>134</v>
      </c>
      <c r="L21" s="2" t="s">
        <v>106</v>
      </c>
      <c r="M21" s="2" t="s">
        <v>45</v>
      </c>
      <c r="N21" s="2" t="s">
        <v>174</v>
      </c>
      <c r="O21" s="2">
        <f t="shared" si="0"/>
        <v>0</v>
      </c>
      <c r="P21" s="2">
        <f t="shared" si="1"/>
        <v>15</v>
      </c>
      <c r="Q21" s="2" t="s">
        <v>60</v>
      </c>
      <c r="R21" s="2" t="s">
        <v>47</v>
      </c>
      <c r="S21" s="2" t="s">
        <v>49</v>
      </c>
      <c r="T21" s="2" t="s">
        <v>47</v>
      </c>
      <c r="U21" s="2" t="s">
        <v>47</v>
      </c>
      <c r="V21" s="2" t="s">
        <v>48</v>
      </c>
      <c r="W21" s="2" t="s">
        <v>51</v>
      </c>
      <c r="X21" s="2" t="s">
        <v>49</v>
      </c>
      <c r="Y21" s="2" t="s">
        <v>47</v>
      </c>
      <c r="Z21" s="2" t="s">
        <v>186</v>
      </c>
      <c r="AA21" s="2" t="s">
        <v>93</v>
      </c>
      <c r="AB21" s="2" t="s">
        <v>162</v>
      </c>
      <c r="AC21" s="2" t="s">
        <v>51</v>
      </c>
      <c r="AD21" s="2" t="s">
        <v>50</v>
      </c>
      <c r="AE21" s="2" t="s">
        <v>48</v>
      </c>
      <c r="AF21" s="2">
        <f t="shared" si="2"/>
        <v>22500</v>
      </c>
      <c r="AG21" s="2" t="s">
        <v>187</v>
      </c>
      <c r="AH21" s="2" t="s">
        <v>47</v>
      </c>
      <c r="AI21" s="2" t="s">
        <v>55</v>
      </c>
      <c r="AJ21" s="3">
        <v>46096</v>
      </c>
      <c r="AK21" s="2">
        <f t="shared" si="3"/>
        <v>2.83</v>
      </c>
    </row>
    <row r="22" spans="1:37" x14ac:dyDescent="0.3">
      <c r="A22" s="2" t="s">
        <v>188</v>
      </c>
      <c r="B22" s="2" t="s">
        <v>189</v>
      </c>
      <c r="C22" s="2" t="s">
        <v>139</v>
      </c>
      <c r="D22" s="2" t="s">
        <v>140</v>
      </c>
      <c r="E22" s="2" t="s">
        <v>84</v>
      </c>
      <c r="F22" s="3">
        <v>43896</v>
      </c>
      <c r="G22" s="2" t="s">
        <v>61</v>
      </c>
      <c r="H22" s="3">
        <v>45139</v>
      </c>
      <c r="I22" s="3">
        <v>45154</v>
      </c>
      <c r="J22" s="2">
        <v>15</v>
      </c>
      <c r="K22" s="2" t="s">
        <v>43</v>
      </c>
      <c r="L22" s="2" t="s">
        <v>115</v>
      </c>
      <c r="M22" s="2" t="s">
        <v>150</v>
      </c>
      <c r="N22" s="2" t="s">
        <v>174</v>
      </c>
      <c r="O22" s="2">
        <f t="shared" si="0"/>
        <v>15</v>
      </c>
      <c r="P22" s="2">
        <f t="shared" si="1"/>
        <v>0</v>
      </c>
      <c r="Q22" s="2" t="s">
        <v>41</v>
      </c>
      <c r="R22" s="2" t="s">
        <v>47</v>
      </c>
      <c r="S22" s="2" t="s">
        <v>48</v>
      </c>
      <c r="T22" s="2" t="s">
        <v>47</v>
      </c>
      <c r="U22" s="2" t="s">
        <v>48</v>
      </c>
      <c r="V22" s="2" t="s">
        <v>48</v>
      </c>
      <c r="W22" s="2" t="s">
        <v>51</v>
      </c>
      <c r="X22" s="2" t="s">
        <v>50</v>
      </c>
      <c r="Y22" s="2" t="s">
        <v>50</v>
      </c>
      <c r="Z22" s="2" t="s">
        <v>190</v>
      </c>
      <c r="AA22" s="2" t="s">
        <v>50</v>
      </c>
      <c r="AB22" s="2" t="s">
        <v>53</v>
      </c>
      <c r="AC22" s="2" t="s">
        <v>51</v>
      </c>
      <c r="AD22" s="2" t="s">
        <v>51</v>
      </c>
      <c r="AE22" s="2" t="s">
        <v>48</v>
      </c>
      <c r="AF22" s="2">
        <f t="shared" si="2"/>
        <v>0</v>
      </c>
      <c r="AG22" s="2" t="s">
        <v>191</v>
      </c>
      <c r="AH22" s="2" t="s">
        <v>47</v>
      </c>
      <c r="AI22" s="2" t="s">
        <v>55</v>
      </c>
      <c r="AJ22" s="2"/>
      <c r="AK22" s="2">
        <f t="shared" si="3"/>
        <v>3.44</v>
      </c>
    </row>
    <row r="23" spans="1:37" x14ac:dyDescent="0.3">
      <c r="A23" s="2" t="s">
        <v>192</v>
      </c>
      <c r="B23" s="2" t="s">
        <v>193</v>
      </c>
      <c r="C23" s="2" t="s">
        <v>58</v>
      </c>
      <c r="D23" s="2" t="s">
        <v>97</v>
      </c>
      <c r="E23" s="2" t="s">
        <v>142</v>
      </c>
      <c r="F23" s="3">
        <v>43449</v>
      </c>
      <c r="G23" s="2" t="s">
        <v>42</v>
      </c>
      <c r="H23" s="3">
        <v>44495</v>
      </c>
      <c r="I23" s="3">
        <v>44525</v>
      </c>
      <c r="J23" s="2">
        <v>30</v>
      </c>
      <c r="K23" s="2" t="s">
        <v>43</v>
      </c>
      <c r="L23" s="2" t="s">
        <v>63</v>
      </c>
      <c r="M23" s="2" t="s">
        <v>45</v>
      </c>
      <c r="N23" s="2"/>
      <c r="O23" s="2">
        <f t="shared" si="0"/>
        <v>30</v>
      </c>
      <c r="P23" s="2">
        <f t="shared" si="1"/>
        <v>0</v>
      </c>
      <c r="Q23" s="2" t="s">
        <v>107</v>
      </c>
      <c r="R23" s="2" t="s">
        <v>47</v>
      </c>
      <c r="S23" s="2" t="s">
        <v>49</v>
      </c>
      <c r="T23" s="2" t="s">
        <v>49</v>
      </c>
      <c r="U23" s="2" t="s">
        <v>48</v>
      </c>
      <c r="V23" s="2" t="s">
        <v>47</v>
      </c>
      <c r="W23" s="2" t="s">
        <v>51</v>
      </c>
      <c r="X23" s="2" t="s">
        <v>49</v>
      </c>
      <c r="Y23" s="2" t="s">
        <v>50</v>
      </c>
      <c r="Z23" s="2" t="s">
        <v>194</v>
      </c>
      <c r="AA23" s="2" t="s">
        <v>50</v>
      </c>
      <c r="AB23" s="2"/>
      <c r="AC23" s="2" t="s">
        <v>51</v>
      </c>
      <c r="AD23" s="2" t="s">
        <v>50</v>
      </c>
      <c r="AE23" s="2" t="s">
        <v>48</v>
      </c>
      <c r="AF23" s="2">
        <f t="shared" si="2"/>
        <v>0</v>
      </c>
      <c r="AG23" s="2" t="s">
        <v>195</v>
      </c>
      <c r="AH23" s="2" t="s">
        <v>47</v>
      </c>
      <c r="AI23" s="2" t="s">
        <v>55</v>
      </c>
      <c r="AJ23" s="3">
        <v>44540</v>
      </c>
      <c r="AK23" s="2">
        <f t="shared" si="3"/>
        <v>2.95</v>
      </c>
    </row>
    <row r="24" spans="1:37" x14ac:dyDescent="0.3">
      <c r="A24" s="2" t="s">
        <v>196</v>
      </c>
      <c r="B24" s="2" t="s">
        <v>197</v>
      </c>
      <c r="C24" s="2" t="s">
        <v>198</v>
      </c>
      <c r="D24" s="2" t="s">
        <v>199</v>
      </c>
      <c r="E24" s="2" t="s">
        <v>84</v>
      </c>
      <c r="F24" s="3">
        <v>44281</v>
      </c>
      <c r="G24" s="2" t="s">
        <v>98</v>
      </c>
      <c r="H24" s="3">
        <v>45758</v>
      </c>
      <c r="I24" s="3">
        <v>45803</v>
      </c>
      <c r="J24" s="2">
        <v>60</v>
      </c>
      <c r="K24" s="2" t="s">
        <v>80</v>
      </c>
      <c r="L24" s="2" t="s">
        <v>200</v>
      </c>
      <c r="M24" s="2" t="s">
        <v>45</v>
      </c>
      <c r="N24" s="2" t="s">
        <v>174</v>
      </c>
      <c r="O24" s="2">
        <f t="shared" si="0"/>
        <v>45</v>
      </c>
      <c r="P24" s="2">
        <f t="shared" si="1"/>
        <v>15</v>
      </c>
      <c r="Q24" s="2" t="s">
        <v>90</v>
      </c>
      <c r="R24" s="2" t="s">
        <v>49</v>
      </c>
      <c r="S24" s="2" t="s">
        <v>48</v>
      </c>
      <c r="T24" s="2" t="s">
        <v>47</v>
      </c>
      <c r="U24" s="2" t="s">
        <v>48</v>
      </c>
      <c r="V24" s="2" t="s">
        <v>48</v>
      </c>
      <c r="W24" s="2" t="s">
        <v>49</v>
      </c>
      <c r="X24" s="2" t="s">
        <v>50</v>
      </c>
      <c r="Y24" s="2" t="s">
        <v>50</v>
      </c>
      <c r="Z24" s="2" t="s">
        <v>201</v>
      </c>
      <c r="AA24" s="2" t="s">
        <v>51</v>
      </c>
      <c r="AB24" s="2" t="s">
        <v>162</v>
      </c>
      <c r="AC24" s="2" t="s">
        <v>51</v>
      </c>
      <c r="AD24" s="2" t="s">
        <v>51</v>
      </c>
      <c r="AE24" s="2" t="s">
        <v>48</v>
      </c>
      <c r="AF24" s="2">
        <f t="shared" si="2"/>
        <v>22500</v>
      </c>
      <c r="AG24" s="2" t="s">
        <v>202</v>
      </c>
      <c r="AH24" s="2" t="s">
        <v>203</v>
      </c>
      <c r="AI24" s="2" t="s">
        <v>49</v>
      </c>
      <c r="AJ24" s="2"/>
      <c r="AK24" s="2">
        <f t="shared" si="3"/>
        <v>4.17</v>
      </c>
    </row>
    <row r="25" spans="1:37" x14ac:dyDescent="0.3">
      <c r="A25" s="2" t="s">
        <v>204</v>
      </c>
      <c r="B25" s="2" t="s">
        <v>205</v>
      </c>
      <c r="C25" s="2" t="s">
        <v>148</v>
      </c>
      <c r="D25" s="2" t="s">
        <v>206</v>
      </c>
      <c r="E25" s="2" t="s">
        <v>84</v>
      </c>
      <c r="F25" s="3">
        <v>44421</v>
      </c>
      <c r="G25" s="2" t="s">
        <v>98</v>
      </c>
      <c r="H25" s="3">
        <v>45687</v>
      </c>
      <c r="I25" s="3">
        <v>45762</v>
      </c>
      <c r="J25" s="2">
        <v>90</v>
      </c>
      <c r="K25" s="2" t="s">
        <v>43</v>
      </c>
      <c r="L25" s="2" t="s">
        <v>167</v>
      </c>
      <c r="M25" s="2" t="s">
        <v>100</v>
      </c>
      <c r="N25" s="2"/>
      <c r="O25" s="2">
        <f t="shared" si="0"/>
        <v>75</v>
      </c>
      <c r="P25" s="2">
        <f t="shared" si="1"/>
        <v>15</v>
      </c>
      <c r="Q25" s="2" t="s">
        <v>121</v>
      </c>
      <c r="R25" s="2" t="s">
        <v>47</v>
      </c>
      <c r="S25" s="2" t="s">
        <v>47</v>
      </c>
      <c r="T25" s="2" t="s">
        <v>48</v>
      </c>
      <c r="U25" s="2" t="s">
        <v>48</v>
      </c>
      <c r="V25" s="2" t="s">
        <v>49</v>
      </c>
      <c r="W25" s="2" t="s">
        <v>51</v>
      </c>
      <c r="X25" s="2" t="s">
        <v>49</v>
      </c>
      <c r="Y25" s="2" t="s">
        <v>51</v>
      </c>
      <c r="Z25" s="2" t="s">
        <v>207</v>
      </c>
      <c r="AA25" s="2" t="s">
        <v>93</v>
      </c>
      <c r="AB25" s="2" t="s">
        <v>53</v>
      </c>
      <c r="AC25" s="2" t="s">
        <v>50</v>
      </c>
      <c r="AD25" s="2" t="s">
        <v>51</v>
      </c>
      <c r="AE25" s="2" t="s">
        <v>66</v>
      </c>
      <c r="AF25" s="2">
        <f t="shared" si="2"/>
        <v>22500</v>
      </c>
      <c r="AG25" s="2" t="s">
        <v>208</v>
      </c>
      <c r="AH25" s="2" t="s">
        <v>47</v>
      </c>
      <c r="AI25" s="2" t="s">
        <v>55</v>
      </c>
      <c r="AJ25" s="3">
        <v>45777</v>
      </c>
      <c r="AK25" s="2">
        <f t="shared" si="3"/>
        <v>3.67</v>
      </c>
    </row>
    <row r="26" spans="1:37" x14ac:dyDescent="0.3">
      <c r="A26" s="2" t="s">
        <v>209</v>
      </c>
      <c r="B26" s="2" t="s">
        <v>210</v>
      </c>
      <c r="C26" s="2" t="s">
        <v>211</v>
      </c>
      <c r="D26" s="2" t="s">
        <v>212</v>
      </c>
      <c r="E26" s="2" t="s">
        <v>84</v>
      </c>
      <c r="F26" s="3">
        <v>43461</v>
      </c>
      <c r="G26" s="2" t="s">
        <v>98</v>
      </c>
      <c r="H26" s="3">
        <v>44779</v>
      </c>
      <c r="I26" s="3">
        <v>44854</v>
      </c>
      <c r="J26" s="2">
        <v>90</v>
      </c>
      <c r="K26" s="2" t="s">
        <v>43</v>
      </c>
      <c r="L26" s="2" t="s">
        <v>63</v>
      </c>
      <c r="M26" s="2"/>
      <c r="N26" s="2" t="s">
        <v>83</v>
      </c>
      <c r="O26" s="2">
        <f t="shared" si="0"/>
        <v>75</v>
      </c>
      <c r="P26" s="2">
        <f t="shared" si="1"/>
        <v>15</v>
      </c>
      <c r="Q26" s="2" t="s">
        <v>41</v>
      </c>
      <c r="R26" s="2" t="s">
        <v>47</v>
      </c>
      <c r="S26" s="2" t="s">
        <v>48</v>
      </c>
      <c r="T26" s="2" t="s">
        <v>47</v>
      </c>
      <c r="U26" s="2" t="s">
        <v>48</v>
      </c>
      <c r="V26" s="2" t="s">
        <v>47</v>
      </c>
      <c r="W26" s="2" t="s">
        <v>51</v>
      </c>
      <c r="X26" s="2" t="s">
        <v>51</v>
      </c>
      <c r="Y26" s="2" t="s">
        <v>50</v>
      </c>
      <c r="Z26" s="2" t="s">
        <v>213</v>
      </c>
      <c r="AA26" s="2" t="s">
        <v>50</v>
      </c>
      <c r="AB26" s="2" t="s">
        <v>102</v>
      </c>
      <c r="AC26" s="2" t="s">
        <v>50</v>
      </c>
      <c r="AD26" s="2" t="s">
        <v>51</v>
      </c>
      <c r="AE26" s="2" t="s">
        <v>49</v>
      </c>
      <c r="AF26" s="2">
        <f t="shared" si="2"/>
        <v>22500</v>
      </c>
      <c r="AG26" s="2" t="s">
        <v>214</v>
      </c>
      <c r="AH26" s="2" t="s">
        <v>47</v>
      </c>
      <c r="AI26" s="2" t="s">
        <v>55</v>
      </c>
      <c r="AJ26" s="3">
        <v>44857</v>
      </c>
      <c r="AK26" s="2">
        <f t="shared" si="3"/>
        <v>3.81</v>
      </c>
    </row>
    <row r="27" spans="1:37" x14ac:dyDescent="0.3">
      <c r="A27" s="2" t="s">
        <v>215</v>
      </c>
      <c r="B27" s="2" t="s">
        <v>216</v>
      </c>
      <c r="C27" s="2" t="s">
        <v>113</v>
      </c>
      <c r="D27" s="2" t="s">
        <v>114</v>
      </c>
      <c r="E27" s="2" t="s">
        <v>41</v>
      </c>
      <c r="F27" s="3">
        <v>44991</v>
      </c>
      <c r="G27" s="2" t="s">
        <v>42</v>
      </c>
      <c r="H27" s="3">
        <v>45261</v>
      </c>
      <c r="I27" s="3">
        <v>45291</v>
      </c>
      <c r="J27" s="2">
        <v>30</v>
      </c>
      <c r="K27" s="2" t="s">
        <v>43</v>
      </c>
      <c r="L27" s="2" t="s">
        <v>217</v>
      </c>
      <c r="M27" s="2" t="s">
        <v>82</v>
      </c>
      <c r="N27" s="2"/>
      <c r="O27" s="2">
        <f t="shared" si="0"/>
        <v>30</v>
      </c>
      <c r="P27" s="2">
        <f t="shared" si="1"/>
        <v>0</v>
      </c>
      <c r="Q27" s="2" t="s">
        <v>84</v>
      </c>
      <c r="R27" s="2" t="s">
        <v>47</v>
      </c>
      <c r="S27" s="2" t="s">
        <v>49</v>
      </c>
      <c r="T27" s="2" t="s">
        <v>48</v>
      </c>
      <c r="U27" s="2" t="s">
        <v>49</v>
      </c>
      <c r="V27" s="2" t="s">
        <v>47</v>
      </c>
      <c r="W27" s="2" t="s">
        <v>50</v>
      </c>
      <c r="X27" s="2" t="s">
        <v>51</v>
      </c>
      <c r="Y27" s="2" t="s">
        <v>51</v>
      </c>
      <c r="Z27" s="2" t="s">
        <v>218</v>
      </c>
      <c r="AA27" s="2" t="s">
        <v>50</v>
      </c>
      <c r="AB27" s="2" t="s">
        <v>162</v>
      </c>
      <c r="AC27" s="2" t="s">
        <v>51</v>
      </c>
      <c r="AD27" s="2" t="s">
        <v>51</v>
      </c>
      <c r="AE27" s="2" t="s">
        <v>66</v>
      </c>
      <c r="AF27" s="2">
        <f t="shared" si="2"/>
        <v>0</v>
      </c>
      <c r="AG27" s="2" t="s">
        <v>219</v>
      </c>
      <c r="AH27" s="2" t="s">
        <v>47</v>
      </c>
      <c r="AI27" s="2" t="s">
        <v>74</v>
      </c>
      <c r="AJ27" s="3">
        <v>45298</v>
      </c>
      <c r="AK27" s="2">
        <f t="shared" si="3"/>
        <v>0.82</v>
      </c>
    </row>
    <row r="28" spans="1:37" x14ac:dyDescent="0.3">
      <c r="A28" s="2" t="s">
        <v>220</v>
      </c>
      <c r="B28" s="2" t="s">
        <v>221</v>
      </c>
      <c r="C28" s="2" t="s">
        <v>113</v>
      </c>
      <c r="D28" s="2" t="s">
        <v>114</v>
      </c>
      <c r="E28" s="2" t="s">
        <v>84</v>
      </c>
      <c r="F28" s="3">
        <v>44419</v>
      </c>
      <c r="G28" s="2" t="s">
        <v>79</v>
      </c>
      <c r="H28" s="3">
        <v>46229</v>
      </c>
      <c r="I28" s="3">
        <v>46244</v>
      </c>
      <c r="J28" s="2">
        <v>15</v>
      </c>
      <c r="K28" s="2" t="s">
        <v>62</v>
      </c>
      <c r="L28" s="2" t="s">
        <v>167</v>
      </c>
      <c r="M28" s="2" t="s">
        <v>82</v>
      </c>
      <c r="N28" s="2" t="s">
        <v>91</v>
      </c>
      <c r="O28" s="2">
        <f t="shared" si="0"/>
        <v>15</v>
      </c>
      <c r="P28" s="2">
        <f t="shared" si="1"/>
        <v>0</v>
      </c>
      <c r="Q28" s="2" t="s">
        <v>60</v>
      </c>
      <c r="R28" s="2" t="s">
        <v>47</v>
      </c>
      <c r="S28" s="2" t="s">
        <v>49</v>
      </c>
      <c r="T28" s="2" t="s">
        <v>49</v>
      </c>
      <c r="U28" s="2" t="s">
        <v>49</v>
      </c>
      <c r="V28" s="2" t="s">
        <v>48</v>
      </c>
      <c r="W28" s="2" t="s">
        <v>51</v>
      </c>
      <c r="X28" s="2" t="s">
        <v>50</v>
      </c>
      <c r="Y28" s="2" t="s">
        <v>51</v>
      </c>
      <c r="Z28" s="2" t="s">
        <v>222</v>
      </c>
      <c r="AA28" s="2" t="s">
        <v>51</v>
      </c>
      <c r="AB28" s="2" t="s">
        <v>53</v>
      </c>
      <c r="AC28" s="2" t="s">
        <v>50</v>
      </c>
      <c r="AD28" s="2" t="s">
        <v>51</v>
      </c>
      <c r="AE28" s="2" t="s">
        <v>48</v>
      </c>
      <c r="AF28" s="2">
        <f t="shared" si="2"/>
        <v>0</v>
      </c>
      <c r="AG28" s="2" t="s">
        <v>223</v>
      </c>
      <c r="AH28" s="2" t="s">
        <v>47</v>
      </c>
      <c r="AI28" s="2" t="s">
        <v>55</v>
      </c>
      <c r="AJ28" s="3">
        <v>46249</v>
      </c>
      <c r="AK28" s="2">
        <f t="shared" si="3"/>
        <v>5</v>
      </c>
    </row>
    <row r="29" spans="1:37" x14ac:dyDescent="0.3">
      <c r="A29" s="2" t="s">
        <v>224</v>
      </c>
      <c r="B29" s="2" t="s">
        <v>225</v>
      </c>
      <c r="C29" s="2" t="s">
        <v>172</v>
      </c>
      <c r="D29" s="2" t="s">
        <v>226</v>
      </c>
      <c r="E29" s="2" t="s">
        <v>60</v>
      </c>
      <c r="F29" s="3">
        <v>44398</v>
      </c>
      <c r="G29" s="2" t="s">
        <v>61</v>
      </c>
      <c r="H29" s="3">
        <v>45711</v>
      </c>
      <c r="I29" s="3">
        <v>45711</v>
      </c>
      <c r="J29" s="2">
        <v>30</v>
      </c>
      <c r="K29" s="2" t="s">
        <v>134</v>
      </c>
      <c r="L29" s="2" t="s">
        <v>44</v>
      </c>
      <c r="M29" s="2" t="s">
        <v>64</v>
      </c>
      <c r="N29" s="2" t="s">
        <v>46</v>
      </c>
      <c r="O29" s="2">
        <f t="shared" si="0"/>
        <v>0</v>
      </c>
      <c r="P29" s="2">
        <f t="shared" si="1"/>
        <v>30</v>
      </c>
      <c r="Q29" s="2" t="s">
        <v>142</v>
      </c>
      <c r="R29" s="2" t="s">
        <v>47</v>
      </c>
      <c r="S29" s="2" t="s">
        <v>49</v>
      </c>
      <c r="T29" s="2" t="s">
        <v>48</v>
      </c>
      <c r="U29" s="2" t="s">
        <v>48</v>
      </c>
      <c r="V29" s="2" t="s">
        <v>49</v>
      </c>
      <c r="W29" s="2" t="s">
        <v>50</v>
      </c>
      <c r="X29" s="2" t="s">
        <v>49</v>
      </c>
      <c r="Y29" s="2" t="s">
        <v>50</v>
      </c>
      <c r="Z29" s="2" t="s">
        <v>227</v>
      </c>
      <c r="AA29" s="2" t="s">
        <v>93</v>
      </c>
      <c r="AB29" s="2"/>
      <c r="AC29" s="2" t="s">
        <v>51</v>
      </c>
      <c r="AD29" s="2" t="s">
        <v>51</v>
      </c>
      <c r="AE29" s="2" t="s">
        <v>66</v>
      </c>
      <c r="AF29" s="2">
        <f t="shared" si="2"/>
        <v>45000</v>
      </c>
      <c r="AG29" s="2" t="s">
        <v>228</v>
      </c>
      <c r="AH29" s="2" t="s">
        <v>110</v>
      </c>
      <c r="AI29" s="2" t="s">
        <v>55</v>
      </c>
      <c r="AJ29" s="3">
        <v>45716</v>
      </c>
      <c r="AK29" s="2">
        <f t="shared" si="3"/>
        <v>3.6</v>
      </c>
    </row>
    <row r="30" spans="1:37" x14ac:dyDescent="0.3">
      <c r="A30" s="2" t="s">
        <v>229</v>
      </c>
      <c r="B30" s="2" t="s">
        <v>230</v>
      </c>
      <c r="C30" s="2" t="s">
        <v>113</v>
      </c>
      <c r="D30" s="2" t="s">
        <v>133</v>
      </c>
      <c r="E30" s="2" t="s">
        <v>142</v>
      </c>
      <c r="F30" s="3">
        <v>45489</v>
      </c>
      <c r="G30" s="2" t="s">
        <v>42</v>
      </c>
      <c r="H30" s="3">
        <v>45665</v>
      </c>
      <c r="I30" s="3">
        <v>45695</v>
      </c>
      <c r="J30" s="2">
        <v>30</v>
      </c>
      <c r="K30" s="2" t="s">
        <v>43</v>
      </c>
      <c r="L30" s="2" t="s">
        <v>115</v>
      </c>
      <c r="M30" s="2"/>
      <c r="N30" s="2" t="s">
        <v>174</v>
      </c>
      <c r="O30" s="2">
        <f t="shared" si="0"/>
        <v>30</v>
      </c>
      <c r="P30" s="2">
        <f t="shared" si="1"/>
        <v>0</v>
      </c>
      <c r="Q30" s="2" t="s">
        <v>70</v>
      </c>
      <c r="R30" s="2" t="s">
        <v>47</v>
      </c>
      <c r="S30" s="2" t="s">
        <v>48</v>
      </c>
      <c r="T30" s="2" t="s">
        <v>49</v>
      </c>
      <c r="U30" s="2" t="s">
        <v>48</v>
      </c>
      <c r="V30" s="2" t="s">
        <v>47</v>
      </c>
      <c r="W30" s="2" t="s">
        <v>49</v>
      </c>
      <c r="X30" s="2" t="s">
        <v>51</v>
      </c>
      <c r="Y30" s="2" t="s">
        <v>47</v>
      </c>
      <c r="Z30" s="2" t="s">
        <v>231</v>
      </c>
      <c r="AA30" s="2" t="s">
        <v>50</v>
      </c>
      <c r="AB30" s="2"/>
      <c r="AC30" s="2" t="s">
        <v>51</v>
      </c>
      <c r="AD30" s="2" t="s">
        <v>51</v>
      </c>
      <c r="AE30" s="2" t="s">
        <v>48</v>
      </c>
      <c r="AF30" s="2">
        <f t="shared" si="2"/>
        <v>0</v>
      </c>
      <c r="AG30" s="2" t="s">
        <v>232</v>
      </c>
      <c r="AH30" s="2" t="s">
        <v>47</v>
      </c>
      <c r="AI30" s="2" t="s">
        <v>49</v>
      </c>
      <c r="AJ30" s="3">
        <v>45698</v>
      </c>
      <c r="AK30" s="2">
        <f t="shared" si="3"/>
        <v>0.56000000000000005</v>
      </c>
    </row>
    <row r="31" spans="1:37" x14ac:dyDescent="0.3">
      <c r="A31" s="2" t="s">
        <v>233</v>
      </c>
      <c r="B31" s="2" t="s">
        <v>234</v>
      </c>
      <c r="C31" s="2" t="s">
        <v>235</v>
      </c>
      <c r="D31" s="2" t="s">
        <v>236</v>
      </c>
      <c r="E31" s="2" t="s">
        <v>107</v>
      </c>
      <c r="F31" s="3">
        <v>44273</v>
      </c>
      <c r="G31" s="2" t="s">
        <v>98</v>
      </c>
      <c r="H31" s="3">
        <v>45891</v>
      </c>
      <c r="I31" s="3">
        <v>45981</v>
      </c>
      <c r="J31" s="2">
        <v>90</v>
      </c>
      <c r="K31" s="2" t="s">
        <v>43</v>
      </c>
      <c r="L31" s="2" t="s">
        <v>71</v>
      </c>
      <c r="M31" s="2" t="s">
        <v>64</v>
      </c>
      <c r="N31" s="2" t="s">
        <v>116</v>
      </c>
      <c r="O31" s="2">
        <f t="shared" si="0"/>
        <v>90</v>
      </c>
      <c r="P31" s="2">
        <f t="shared" si="1"/>
        <v>0</v>
      </c>
      <c r="Q31" s="2" t="s">
        <v>70</v>
      </c>
      <c r="R31" s="2" t="s">
        <v>47</v>
      </c>
      <c r="S31" s="2" t="s">
        <v>48</v>
      </c>
      <c r="T31" s="2" t="s">
        <v>48</v>
      </c>
      <c r="U31" s="2" t="s">
        <v>48</v>
      </c>
      <c r="V31" s="2" t="s">
        <v>49</v>
      </c>
      <c r="W31" s="2" t="s">
        <v>50</v>
      </c>
      <c r="X31" s="2" t="s">
        <v>49</v>
      </c>
      <c r="Y31" s="2" t="s">
        <v>51</v>
      </c>
      <c r="Z31" s="2" t="s">
        <v>237</v>
      </c>
      <c r="AA31" s="2" t="s">
        <v>50</v>
      </c>
      <c r="AB31" s="2" t="s">
        <v>162</v>
      </c>
      <c r="AC31" s="2" t="s">
        <v>51</v>
      </c>
      <c r="AD31" s="2" t="s">
        <v>50</v>
      </c>
      <c r="AE31" s="2" t="s">
        <v>48</v>
      </c>
      <c r="AF31" s="2">
        <f t="shared" si="2"/>
        <v>0</v>
      </c>
      <c r="AG31" s="2" t="s">
        <v>238</v>
      </c>
      <c r="AH31" s="2" t="s">
        <v>47</v>
      </c>
      <c r="AI31" s="2" t="s">
        <v>55</v>
      </c>
      <c r="AJ31" s="3">
        <v>45986</v>
      </c>
      <c r="AK31" s="2">
        <f t="shared" si="3"/>
        <v>4.68</v>
      </c>
    </row>
    <row r="32" spans="1:37" x14ac:dyDescent="0.3">
      <c r="A32" s="2" t="s">
        <v>239</v>
      </c>
      <c r="B32" s="2" t="s">
        <v>240</v>
      </c>
      <c r="C32" s="2" t="s">
        <v>235</v>
      </c>
      <c r="D32" s="2" t="s">
        <v>241</v>
      </c>
      <c r="E32" s="2" t="s">
        <v>121</v>
      </c>
      <c r="F32" s="3">
        <v>43677</v>
      </c>
      <c r="G32" s="2" t="s">
        <v>79</v>
      </c>
      <c r="H32" s="3">
        <v>44631</v>
      </c>
      <c r="I32" s="3">
        <v>44631</v>
      </c>
      <c r="J32" s="2">
        <v>15</v>
      </c>
      <c r="K32" s="2" t="s">
        <v>62</v>
      </c>
      <c r="L32" s="2" t="s">
        <v>99</v>
      </c>
      <c r="M32" s="2" t="s">
        <v>100</v>
      </c>
      <c r="N32" s="2" t="s">
        <v>174</v>
      </c>
      <c r="O32" s="2">
        <f t="shared" si="0"/>
        <v>0</v>
      </c>
      <c r="P32" s="2">
        <f t="shared" si="1"/>
        <v>15</v>
      </c>
      <c r="Q32" s="2" t="s">
        <v>142</v>
      </c>
      <c r="R32" s="2" t="s">
        <v>47</v>
      </c>
      <c r="S32" s="2" t="s">
        <v>49</v>
      </c>
      <c r="T32" s="2" t="s">
        <v>48</v>
      </c>
      <c r="U32" s="2" t="s">
        <v>48</v>
      </c>
      <c r="V32" s="2" t="s">
        <v>47</v>
      </c>
      <c r="W32" s="2" t="s">
        <v>51</v>
      </c>
      <c r="X32" s="2" t="s">
        <v>49</v>
      </c>
      <c r="Y32" s="2" t="s">
        <v>50</v>
      </c>
      <c r="Z32" s="2" t="s">
        <v>242</v>
      </c>
      <c r="AA32" s="2" t="s">
        <v>51</v>
      </c>
      <c r="AB32" s="2"/>
      <c r="AC32" s="2" t="s">
        <v>51</v>
      </c>
      <c r="AD32" s="2" t="s">
        <v>50</v>
      </c>
      <c r="AE32" s="2" t="s">
        <v>48</v>
      </c>
      <c r="AF32" s="2">
        <f t="shared" si="2"/>
        <v>22500</v>
      </c>
      <c r="AG32" s="2" t="s">
        <v>243</v>
      </c>
      <c r="AH32" s="2" t="s">
        <v>47</v>
      </c>
      <c r="AI32" s="2" t="s">
        <v>74</v>
      </c>
      <c r="AJ32" s="3">
        <v>44641</v>
      </c>
      <c r="AK32" s="2">
        <f t="shared" si="3"/>
        <v>2.61</v>
      </c>
    </row>
    <row r="33" spans="1:37" x14ac:dyDescent="0.3">
      <c r="A33" s="2" t="s">
        <v>244</v>
      </c>
      <c r="B33" s="2" t="s">
        <v>245</v>
      </c>
      <c r="C33" s="2" t="s">
        <v>127</v>
      </c>
      <c r="D33" s="2" t="s">
        <v>128</v>
      </c>
      <c r="E33" s="2" t="s">
        <v>41</v>
      </c>
      <c r="F33" s="3">
        <v>43499</v>
      </c>
      <c r="G33" s="2" t="s">
        <v>79</v>
      </c>
      <c r="H33" s="3">
        <v>44490</v>
      </c>
      <c r="I33" s="3">
        <v>44510</v>
      </c>
      <c r="J33" s="2">
        <v>15</v>
      </c>
      <c r="K33" s="2" t="s">
        <v>43</v>
      </c>
      <c r="L33" s="2" t="s">
        <v>200</v>
      </c>
      <c r="M33" s="2" t="s">
        <v>82</v>
      </c>
      <c r="N33" s="2" t="s">
        <v>246</v>
      </c>
      <c r="O33" s="2">
        <f t="shared" si="0"/>
        <v>20</v>
      </c>
      <c r="P33" s="2">
        <f t="shared" si="1"/>
        <v>0</v>
      </c>
      <c r="Q33" s="2" t="s">
        <v>70</v>
      </c>
      <c r="R33" s="2" t="s">
        <v>47</v>
      </c>
      <c r="S33" s="2" t="s">
        <v>49</v>
      </c>
      <c r="T33" s="2" t="s">
        <v>48</v>
      </c>
      <c r="U33" s="2" t="s">
        <v>49</v>
      </c>
      <c r="V33" s="2" t="s">
        <v>47</v>
      </c>
      <c r="W33" s="2" t="s">
        <v>51</v>
      </c>
      <c r="X33" s="2" t="s">
        <v>49</v>
      </c>
      <c r="Y33" s="2" t="s">
        <v>50</v>
      </c>
      <c r="Z33" s="2" t="s">
        <v>247</v>
      </c>
      <c r="AA33" s="2" t="s">
        <v>50</v>
      </c>
      <c r="AB33" s="2" t="s">
        <v>53</v>
      </c>
      <c r="AC33" s="2" t="s">
        <v>51</v>
      </c>
      <c r="AD33" s="2" t="s">
        <v>50</v>
      </c>
      <c r="AE33" s="2" t="s">
        <v>66</v>
      </c>
      <c r="AF33" s="2">
        <f t="shared" si="2"/>
        <v>0</v>
      </c>
      <c r="AG33" s="2" t="s">
        <v>248</v>
      </c>
      <c r="AH33" s="2" t="s">
        <v>47</v>
      </c>
      <c r="AI33" s="2" t="s">
        <v>55</v>
      </c>
      <c r="AJ33" s="3">
        <v>44525</v>
      </c>
      <c r="AK33" s="2">
        <f t="shared" si="3"/>
        <v>2.77</v>
      </c>
    </row>
    <row r="34" spans="1:37" x14ac:dyDescent="0.3">
      <c r="A34" s="2" t="s">
        <v>249</v>
      </c>
      <c r="B34" s="2" t="s">
        <v>250</v>
      </c>
      <c r="C34" s="2" t="s">
        <v>58</v>
      </c>
      <c r="D34" s="2" t="s">
        <v>97</v>
      </c>
      <c r="E34" s="2" t="s">
        <v>90</v>
      </c>
      <c r="F34" s="3">
        <v>45546</v>
      </c>
      <c r="G34" s="2" t="s">
        <v>98</v>
      </c>
      <c r="H34" s="3">
        <v>45597</v>
      </c>
      <c r="I34" s="3">
        <v>45657</v>
      </c>
      <c r="J34" s="2">
        <v>60</v>
      </c>
      <c r="K34" s="2" t="s">
        <v>134</v>
      </c>
      <c r="L34" s="2" t="s">
        <v>167</v>
      </c>
      <c r="M34" s="2" t="s">
        <v>45</v>
      </c>
      <c r="N34" s="2" t="s">
        <v>91</v>
      </c>
      <c r="O34" s="2">
        <f t="shared" si="0"/>
        <v>60</v>
      </c>
      <c r="P34" s="2">
        <f t="shared" si="1"/>
        <v>0</v>
      </c>
      <c r="Q34" s="2" t="s">
        <v>90</v>
      </c>
      <c r="R34" s="2" t="s">
        <v>47</v>
      </c>
      <c r="S34" s="2" t="s">
        <v>47</v>
      </c>
      <c r="T34" s="2" t="s">
        <v>48</v>
      </c>
      <c r="U34" s="2" t="s">
        <v>48</v>
      </c>
      <c r="V34" s="2" t="s">
        <v>48</v>
      </c>
      <c r="W34" s="2" t="s">
        <v>50</v>
      </c>
      <c r="X34" s="2" t="s">
        <v>50</v>
      </c>
      <c r="Y34" s="2" t="s">
        <v>47</v>
      </c>
      <c r="Z34" s="2" t="s">
        <v>251</v>
      </c>
      <c r="AA34" s="2" t="s">
        <v>50</v>
      </c>
      <c r="AB34" s="2" t="s">
        <v>102</v>
      </c>
      <c r="AC34" s="2" t="s">
        <v>51</v>
      </c>
      <c r="AD34" s="2" t="s">
        <v>50</v>
      </c>
      <c r="AE34" s="2" t="s">
        <v>48</v>
      </c>
      <c r="AF34" s="2">
        <f t="shared" si="2"/>
        <v>0</v>
      </c>
      <c r="AG34" s="2" t="s">
        <v>252</v>
      </c>
      <c r="AH34" s="2" t="s">
        <v>47</v>
      </c>
      <c r="AI34" s="2" t="s">
        <v>49</v>
      </c>
      <c r="AJ34" s="3">
        <v>45672</v>
      </c>
      <c r="AK34" s="2">
        <f t="shared" si="3"/>
        <v>0.3</v>
      </c>
    </row>
    <row r="35" spans="1:37" x14ac:dyDescent="0.3">
      <c r="A35" s="2" t="s">
        <v>253</v>
      </c>
      <c r="B35" s="2" t="s">
        <v>254</v>
      </c>
      <c r="C35" s="2" t="s">
        <v>139</v>
      </c>
      <c r="D35" s="2" t="s">
        <v>255</v>
      </c>
      <c r="E35" s="2" t="s">
        <v>60</v>
      </c>
      <c r="F35" s="3">
        <v>43620</v>
      </c>
      <c r="G35" s="2" t="s">
        <v>61</v>
      </c>
      <c r="H35" s="3">
        <v>45374</v>
      </c>
      <c r="I35" s="3">
        <v>45394</v>
      </c>
      <c r="J35" s="2">
        <v>15</v>
      </c>
      <c r="K35" s="2" t="s">
        <v>43</v>
      </c>
      <c r="L35" s="2" t="s">
        <v>106</v>
      </c>
      <c r="M35" s="2" t="s">
        <v>122</v>
      </c>
      <c r="N35" s="2" t="s">
        <v>83</v>
      </c>
      <c r="O35" s="2">
        <f t="shared" si="0"/>
        <v>20</v>
      </c>
      <c r="P35" s="2">
        <f t="shared" si="1"/>
        <v>0</v>
      </c>
      <c r="Q35" s="2" t="s">
        <v>90</v>
      </c>
      <c r="R35" s="2" t="s">
        <v>47</v>
      </c>
      <c r="S35" s="2" t="s">
        <v>47</v>
      </c>
      <c r="T35" s="2" t="s">
        <v>48</v>
      </c>
      <c r="U35" s="2" t="s">
        <v>47</v>
      </c>
      <c r="V35" s="2" t="s">
        <v>48</v>
      </c>
      <c r="W35" s="2" t="s">
        <v>51</v>
      </c>
      <c r="X35" s="2" t="s">
        <v>50</v>
      </c>
      <c r="Y35" s="2" t="s">
        <v>50</v>
      </c>
      <c r="Z35" s="2" t="s">
        <v>256</v>
      </c>
      <c r="AA35" s="2" t="s">
        <v>50</v>
      </c>
      <c r="AB35" s="2" t="s">
        <v>53</v>
      </c>
      <c r="AC35" s="2" t="s">
        <v>50</v>
      </c>
      <c r="AD35" s="2" t="s">
        <v>51</v>
      </c>
      <c r="AE35" s="2" t="s">
        <v>49</v>
      </c>
      <c r="AF35" s="2">
        <f t="shared" si="2"/>
        <v>0</v>
      </c>
      <c r="AG35" s="2" t="s">
        <v>257</v>
      </c>
      <c r="AH35" s="2" t="s">
        <v>47</v>
      </c>
      <c r="AI35" s="2" t="s">
        <v>55</v>
      </c>
      <c r="AJ35" s="3">
        <v>45401</v>
      </c>
      <c r="AK35" s="2">
        <f t="shared" si="3"/>
        <v>4.8600000000000003</v>
      </c>
    </row>
    <row r="36" spans="1:37" x14ac:dyDescent="0.3">
      <c r="A36" s="2" t="s">
        <v>258</v>
      </c>
      <c r="B36" s="2" t="s">
        <v>230</v>
      </c>
      <c r="C36" s="2" t="s">
        <v>113</v>
      </c>
      <c r="D36" s="2" t="s">
        <v>114</v>
      </c>
      <c r="E36" s="2" t="s">
        <v>60</v>
      </c>
      <c r="F36" s="3">
        <v>45171</v>
      </c>
      <c r="G36" s="2" t="s">
        <v>61</v>
      </c>
      <c r="H36" s="3">
        <v>46082</v>
      </c>
      <c r="I36" s="3">
        <v>46112</v>
      </c>
      <c r="J36" s="2">
        <v>30</v>
      </c>
      <c r="K36" s="2" t="s">
        <v>134</v>
      </c>
      <c r="L36" s="2" t="s">
        <v>106</v>
      </c>
      <c r="M36" s="2" t="s">
        <v>45</v>
      </c>
      <c r="N36" s="2" t="s">
        <v>83</v>
      </c>
      <c r="O36" s="2">
        <f t="shared" si="0"/>
        <v>30</v>
      </c>
      <c r="P36" s="2">
        <f t="shared" si="1"/>
        <v>0</v>
      </c>
      <c r="Q36" s="2" t="s">
        <v>84</v>
      </c>
      <c r="R36" s="2" t="s">
        <v>47</v>
      </c>
      <c r="S36" s="2" t="s">
        <v>48</v>
      </c>
      <c r="T36" s="2" t="s">
        <v>49</v>
      </c>
      <c r="U36" s="2" t="s">
        <v>48</v>
      </c>
      <c r="V36" s="2" t="s">
        <v>49</v>
      </c>
      <c r="W36" s="2" t="s">
        <v>51</v>
      </c>
      <c r="X36" s="2" t="s">
        <v>51</v>
      </c>
      <c r="Y36" s="2" t="s">
        <v>50</v>
      </c>
      <c r="Z36" s="2" t="s">
        <v>259</v>
      </c>
      <c r="AA36" s="2" t="s">
        <v>93</v>
      </c>
      <c r="AB36" s="2" t="s">
        <v>162</v>
      </c>
      <c r="AC36" s="2" t="s">
        <v>51</v>
      </c>
      <c r="AD36" s="2" t="s">
        <v>51</v>
      </c>
      <c r="AE36" s="2" t="s">
        <v>48</v>
      </c>
      <c r="AF36" s="2">
        <f t="shared" si="2"/>
        <v>0</v>
      </c>
      <c r="AG36" s="2" t="s">
        <v>260</v>
      </c>
      <c r="AH36" s="2" t="s">
        <v>47</v>
      </c>
      <c r="AI36" s="2" t="s">
        <v>55</v>
      </c>
      <c r="AJ36" s="3">
        <v>46127</v>
      </c>
      <c r="AK36" s="2">
        <f t="shared" si="3"/>
        <v>2.58</v>
      </c>
    </row>
    <row r="37" spans="1:37" x14ac:dyDescent="0.3">
      <c r="A37" s="2" t="s">
        <v>261</v>
      </c>
      <c r="B37" s="2" t="s">
        <v>262</v>
      </c>
      <c r="C37" s="2" t="s">
        <v>127</v>
      </c>
      <c r="D37" s="2" t="s">
        <v>263</v>
      </c>
      <c r="E37" s="2" t="s">
        <v>142</v>
      </c>
      <c r="F37" s="3">
        <v>43601</v>
      </c>
      <c r="G37" s="2" t="s">
        <v>98</v>
      </c>
      <c r="H37" s="3">
        <v>45313</v>
      </c>
      <c r="I37" s="3">
        <v>45388</v>
      </c>
      <c r="J37" s="2">
        <v>90</v>
      </c>
      <c r="K37" s="2" t="s">
        <v>134</v>
      </c>
      <c r="L37" s="2" t="s">
        <v>63</v>
      </c>
      <c r="M37" s="2" t="s">
        <v>64</v>
      </c>
      <c r="N37" s="2" t="s">
        <v>246</v>
      </c>
      <c r="O37" s="2">
        <f t="shared" si="0"/>
        <v>75</v>
      </c>
      <c r="P37" s="2">
        <f t="shared" si="1"/>
        <v>15</v>
      </c>
      <c r="Q37" s="2" t="s">
        <v>121</v>
      </c>
      <c r="R37" s="2" t="s">
        <v>47</v>
      </c>
      <c r="S37" s="2" t="s">
        <v>48</v>
      </c>
      <c r="T37" s="2" t="s">
        <v>48</v>
      </c>
      <c r="U37" s="2" t="s">
        <v>47</v>
      </c>
      <c r="V37" s="2" t="s">
        <v>47</v>
      </c>
      <c r="W37" s="2" t="s">
        <v>50</v>
      </c>
      <c r="X37" s="2" t="s">
        <v>50</v>
      </c>
      <c r="Y37" s="2" t="s">
        <v>47</v>
      </c>
      <c r="Z37" s="2" t="s">
        <v>264</v>
      </c>
      <c r="AA37" s="2" t="s">
        <v>50</v>
      </c>
      <c r="AB37" s="2" t="s">
        <v>162</v>
      </c>
      <c r="AC37" s="2" t="s">
        <v>51</v>
      </c>
      <c r="AD37" s="2" t="s">
        <v>50</v>
      </c>
      <c r="AE37" s="2" t="s">
        <v>66</v>
      </c>
      <c r="AF37" s="2">
        <f t="shared" si="2"/>
        <v>22500</v>
      </c>
      <c r="AG37" s="2" t="s">
        <v>265</v>
      </c>
      <c r="AH37" s="2" t="s">
        <v>47</v>
      </c>
      <c r="AI37" s="2" t="s">
        <v>49</v>
      </c>
      <c r="AJ37" s="3">
        <v>45391</v>
      </c>
      <c r="AK37" s="2">
        <f t="shared" si="3"/>
        <v>4.8899999999999997</v>
      </c>
    </row>
    <row r="38" spans="1:37" x14ac:dyDescent="0.3">
      <c r="A38" s="2" t="s">
        <v>266</v>
      </c>
      <c r="B38" s="2" t="s">
        <v>267</v>
      </c>
      <c r="C38" s="2" t="s">
        <v>198</v>
      </c>
      <c r="D38" s="2" t="s">
        <v>268</v>
      </c>
      <c r="E38" s="2" t="s">
        <v>121</v>
      </c>
      <c r="F38" s="3">
        <v>43844</v>
      </c>
      <c r="G38" s="2" t="s">
        <v>61</v>
      </c>
      <c r="H38" s="3">
        <v>44460</v>
      </c>
      <c r="I38" s="3">
        <v>44480</v>
      </c>
      <c r="J38" s="2">
        <v>15</v>
      </c>
      <c r="K38" s="2" t="s">
        <v>80</v>
      </c>
      <c r="L38" s="2" t="s">
        <v>106</v>
      </c>
      <c r="M38" s="2" t="s">
        <v>100</v>
      </c>
      <c r="N38" s="2" t="s">
        <v>91</v>
      </c>
      <c r="O38" s="2">
        <f t="shared" si="0"/>
        <v>20</v>
      </c>
      <c r="P38" s="2">
        <f t="shared" si="1"/>
        <v>0</v>
      </c>
      <c r="Q38" s="2" t="s">
        <v>90</v>
      </c>
      <c r="R38" s="2" t="s">
        <v>49</v>
      </c>
      <c r="S38" s="2" t="s">
        <v>49</v>
      </c>
      <c r="T38" s="2" t="s">
        <v>49</v>
      </c>
      <c r="U38" s="2" t="s">
        <v>48</v>
      </c>
      <c r="V38" s="2" t="s">
        <v>48</v>
      </c>
      <c r="W38" s="2" t="s">
        <v>49</v>
      </c>
      <c r="X38" s="2" t="s">
        <v>49</v>
      </c>
      <c r="Y38" s="2" t="s">
        <v>47</v>
      </c>
      <c r="Z38" s="2" t="s">
        <v>269</v>
      </c>
      <c r="AA38" s="2" t="s">
        <v>51</v>
      </c>
      <c r="AB38" s="2"/>
      <c r="AC38" s="2" t="s">
        <v>50</v>
      </c>
      <c r="AD38" s="2" t="s">
        <v>50</v>
      </c>
      <c r="AE38" s="2" t="s">
        <v>48</v>
      </c>
      <c r="AF38" s="2">
        <f t="shared" si="2"/>
        <v>0</v>
      </c>
      <c r="AG38" s="2" t="s">
        <v>270</v>
      </c>
      <c r="AH38" s="2" t="s">
        <v>145</v>
      </c>
      <c r="AI38" s="2" t="s">
        <v>74</v>
      </c>
      <c r="AJ38" s="2"/>
      <c r="AK38" s="2">
        <f t="shared" si="3"/>
        <v>1.74</v>
      </c>
    </row>
    <row r="39" spans="1:37" x14ac:dyDescent="0.3">
      <c r="A39" s="2" t="s">
        <v>271</v>
      </c>
      <c r="B39" s="2" t="s">
        <v>272</v>
      </c>
      <c r="C39" s="2" t="s">
        <v>77</v>
      </c>
      <c r="D39" s="2" t="s">
        <v>78</v>
      </c>
      <c r="E39" s="2" t="s">
        <v>107</v>
      </c>
      <c r="F39" s="3">
        <v>44861</v>
      </c>
      <c r="G39" s="2" t="s">
        <v>98</v>
      </c>
      <c r="H39" s="3">
        <v>45118</v>
      </c>
      <c r="I39" s="3">
        <v>45193</v>
      </c>
      <c r="J39" s="2">
        <v>90</v>
      </c>
      <c r="K39" s="2" t="s">
        <v>80</v>
      </c>
      <c r="L39" s="2" t="s">
        <v>273</v>
      </c>
      <c r="M39" s="2" t="s">
        <v>100</v>
      </c>
      <c r="N39" s="2" t="s">
        <v>46</v>
      </c>
      <c r="O39" s="2">
        <f t="shared" si="0"/>
        <v>75</v>
      </c>
      <c r="P39" s="2">
        <f t="shared" si="1"/>
        <v>15</v>
      </c>
      <c r="Q39" s="2" t="s">
        <v>107</v>
      </c>
      <c r="R39" s="2" t="s">
        <v>47</v>
      </c>
      <c r="S39" s="2" t="s">
        <v>47</v>
      </c>
      <c r="T39" s="2" t="s">
        <v>48</v>
      </c>
      <c r="U39" s="2" t="s">
        <v>48</v>
      </c>
      <c r="V39" s="2" t="s">
        <v>48</v>
      </c>
      <c r="W39" s="2" t="s">
        <v>49</v>
      </c>
      <c r="X39" s="2" t="s">
        <v>50</v>
      </c>
      <c r="Y39" s="2" t="s">
        <v>51</v>
      </c>
      <c r="Z39" s="2" t="s">
        <v>274</v>
      </c>
      <c r="AA39" s="2" t="s">
        <v>51</v>
      </c>
      <c r="AB39" s="2" t="s">
        <v>162</v>
      </c>
      <c r="AC39" s="2" t="s">
        <v>50</v>
      </c>
      <c r="AD39" s="2" t="s">
        <v>50</v>
      </c>
      <c r="AE39" s="2" t="s">
        <v>49</v>
      </c>
      <c r="AF39" s="2">
        <f t="shared" si="2"/>
        <v>22500</v>
      </c>
      <c r="AG39" s="2" t="s">
        <v>275</v>
      </c>
      <c r="AH39" s="2" t="s">
        <v>47</v>
      </c>
      <c r="AI39" s="2" t="s">
        <v>74</v>
      </c>
      <c r="AJ39" s="3">
        <v>45200</v>
      </c>
      <c r="AK39" s="2">
        <f t="shared" si="3"/>
        <v>0.91</v>
      </c>
    </row>
    <row r="40" spans="1:37" x14ac:dyDescent="0.3">
      <c r="A40" s="2" t="s">
        <v>276</v>
      </c>
      <c r="B40" s="2" t="s">
        <v>277</v>
      </c>
      <c r="C40" s="2" t="s">
        <v>148</v>
      </c>
      <c r="D40" s="2" t="s">
        <v>149</v>
      </c>
      <c r="E40" s="2" t="s">
        <v>60</v>
      </c>
      <c r="F40" s="3">
        <v>43177</v>
      </c>
      <c r="G40" s="2" t="s">
        <v>98</v>
      </c>
      <c r="H40" s="3">
        <v>45090</v>
      </c>
      <c r="I40" s="3">
        <v>45180</v>
      </c>
      <c r="J40" s="2">
        <v>90</v>
      </c>
      <c r="K40" s="2" t="s">
        <v>134</v>
      </c>
      <c r="L40" s="2" t="s">
        <v>273</v>
      </c>
      <c r="M40" s="2" t="s">
        <v>82</v>
      </c>
      <c r="N40" s="2" t="s">
        <v>174</v>
      </c>
      <c r="O40" s="2">
        <f t="shared" si="0"/>
        <v>90</v>
      </c>
      <c r="P40" s="2">
        <f t="shared" si="1"/>
        <v>0</v>
      </c>
      <c r="Q40" s="2" t="s">
        <v>142</v>
      </c>
      <c r="R40" s="2" t="s">
        <v>47</v>
      </c>
      <c r="S40" s="2" t="s">
        <v>49</v>
      </c>
      <c r="T40" s="2" t="s">
        <v>48</v>
      </c>
      <c r="U40" s="2" t="s">
        <v>48</v>
      </c>
      <c r="V40" s="2" t="s">
        <v>48</v>
      </c>
      <c r="W40" s="2" t="s">
        <v>51</v>
      </c>
      <c r="X40" s="2" t="s">
        <v>49</v>
      </c>
      <c r="Y40" s="2" t="s">
        <v>50</v>
      </c>
      <c r="Z40" s="2" t="s">
        <v>278</v>
      </c>
      <c r="AA40" s="2" t="s">
        <v>50</v>
      </c>
      <c r="AB40" s="2"/>
      <c r="AC40" s="2" t="s">
        <v>51</v>
      </c>
      <c r="AD40" s="2" t="s">
        <v>51</v>
      </c>
      <c r="AE40" s="2" t="s">
        <v>48</v>
      </c>
      <c r="AF40" s="2">
        <f t="shared" si="2"/>
        <v>0</v>
      </c>
      <c r="AG40" s="2" t="s">
        <v>279</v>
      </c>
      <c r="AH40" s="2" t="s">
        <v>47</v>
      </c>
      <c r="AI40" s="2" t="s">
        <v>55</v>
      </c>
      <c r="AJ40" s="3">
        <v>45190</v>
      </c>
      <c r="AK40" s="2">
        <f t="shared" si="3"/>
        <v>5.49</v>
      </c>
    </row>
    <row r="41" spans="1:37" x14ac:dyDescent="0.3">
      <c r="A41" s="2" t="s">
        <v>280</v>
      </c>
      <c r="B41" s="2" t="s">
        <v>281</v>
      </c>
      <c r="C41" s="2" t="s">
        <v>211</v>
      </c>
      <c r="D41" s="2" t="s">
        <v>282</v>
      </c>
      <c r="E41" s="2" t="s">
        <v>142</v>
      </c>
      <c r="F41" s="3">
        <v>44539</v>
      </c>
      <c r="G41" s="2" t="s">
        <v>42</v>
      </c>
      <c r="H41" s="3">
        <v>46058</v>
      </c>
      <c r="I41" s="3">
        <v>46088</v>
      </c>
      <c r="J41" s="2">
        <v>30</v>
      </c>
      <c r="K41" s="2" t="s">
        <v>43</v>
      </c>
      <c r="L41" s="2" t="s">
        <v>156</v>
      </c>
      <c r="M41" s="2" t="s">
        <v>150</v>
      </c>
      <c r="N41" s="2"/>
      <c r="O41" s="2">
        <f t="shared" si="0"/>
        <v>30</v>
      </c>
      <c r="P41" s="2">
        <f t="shared" si="1"/>
        <v>0</v>
      </c>
      <c r="Q41" s="2" t="s">
        <v>142</v>
      </c>
      <c r="R41" s="2" t="s">
        <v>47</v>
      </c>
      <c r="S41" s="2" t="s">
        <v>48</v>
      </c>
      <c r="T41" s="2" t="s">
        <v>49</v>
      </c>
      <c r="U41" s="2" t="s">
        <v>49</v>
      </c>
      <c r="V41" s="2" t="s">
        <v>47</v>
      </c>
      <c r="W41" s="2" t="s">
        <v>51</v>
      </c>
      <c r="X41" s="2" t="s">
        <v>49</v>
      </c>
      <c r="Y41" s="2" t="s">
        <v>47</v>
      </c>
      <c r="Z41" s="2" t="s">
        <v>283</v>
      </c>
      <c r="AA41" s="2" t="s">
        <v>50</v>
      </c>
      <c r="AB41" s="2"/>
      <c r="AC41" s="2" t="s">
        <v>51</v>
      </c>
      <c r="AD41" s="2" t="s">
        <v>51</v>
      </c>
      <c r="AE41" s="2" t="s">
        <v>66</v>
      </c>
      <c r="AF41" s="2">
        <f t="shared" si="2"/>
        <v>0</v>
      </c>
      <c r="AG41" s="2" t="s">
        <v>284</v>
      </c>
      <c r="AH41" s="2" t="s">
        <v>47</v>
      </c>
      <c r="AI41" s="2" t="s">
        <v>55</v>
      </c>
      <c r="AJ41" s="3">
        <v>46093</v>
      </c>
      <c r="AK41" s="2">
        <f t="shared" si="3"/>
        <v>4.24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Nikhil George Mathew</cp:lastModifiedBy>
  <cp:revision>0</cp:revision>
  <dcterms:created xsi:type="dcterms:W3CDTF">2026-09-24T07:23:31Z</dcterms:created>
  <dcterms:modified xsi:type="dcterms:W3CDTF">2026-09-24T08:17:15Z</dcterms:modified>
  <dc:language>en-US</dc:language>
</cp:coreProperties>
</file>